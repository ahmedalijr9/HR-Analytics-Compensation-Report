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lBadr\Desktop\HR-Analytics-Compensation-Report\"/>
    </mc:Choice>
  </mc:AlternateContent>
  <xr:revisionPtr revIDLastSave="0" documentId="13_ncr:1_{CD4FDBF7-6180-4D36-8A36-DB25A39BFFF0}" xr6:coauthVersionLast="47" xr6:coauthVersionMax="47" xr10:uidLastSave="{00000000-0000-0000-0000-000000000000}"/>
  <bookViews>
    <workbookView xWindow="-108" yWindow="-108" windowWidth="23256" windowHeight="12456" activeTab="2" xr2:uid="{07BEAB55-A554-4050-9E41-1C9A3A2221D2}"/>
  </bookViews>
  <sheets>
    <sheet name="HR_Project" sheetId="2" r:id="rId1"/>
    <sheet name="Pivot" sheetId="3" r:id="rId2"/>
    <sheet name="DashBorad" sheetId="5" r:id="rId3"/>
  </sheets>
  <definedNames>
    <definedName name="_xlcn.WorksheetConnection_HR_Project.xlsxdata1" hidden="1">data[]</definedName>
    <definedName name="ExternalData_1" localSheetId="0" hidden="1">HR_Project!$A$1:$O$162</definedName>
    <definedName name="Slicer_Education_Qualification">#N/A</definedName>
    <definedName name="Slicer_Gender">#N/A</definedName>
    <definedName name="Slicer_Job_Title">#N/A</definedName>
    <definedName name="Slicer_Join_Year">#N/A</definedName>
  </definedNames>
  <calcPr calcId="191029"/>
  <pivotCaches>
    <pivotCache cacheId="48" r:id="rId4"/>
    <pivotCache cacheId="51" r:id="rId5"/>
    <pivotCache cacheId="54" r:id="rId6"/>
    <pivotCache cacheId="57" r:id="rId7"/>
    <pivotCache cacheId="60" r:id="rId8"/>
    <pivotCache cacheId="63" r:id="rId9"/>
    <pivotCache cacheId="66" r:id="rId10"/>
    <pivotCache cacheId="69" r:id="rId11"/>
    <pivotCache cacheId="75" r:id="rId12"/>
    <pivotCache cacheId="78" r:id="rId13"/>
    <pivotCache cacheId="81" r:id="rId14"/>
  </pivotCaches>
  <extLst>
    <ext xmlns:x14="http://schemas.microsoft.com/office/spreadsheetml/2009/9/main" uri="{876F7934-8845-4945-9796-88D515C7AA90}">
      <x14:pivotCaches>
        <pivotCache cacheId="11" r:id="rId15"/>
        <pivotCache cacheId="12"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0f5c6d1d-450b-4f83-adb4-3ba441b8b800" name="data" connection="Query - data"/>
          <x15:modelTable id="data 1" name="data 1" connection="WorksheetConnection_HR_Project.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368D48-2B74-486A-BE6F-1AC0B97F1B56}" keepAlive="1" name="ModelConnection_ExternalData_1" description="Data Model" type="5" refreshedVersion="8" minRefreshableVersion="5" saveData="1">
    <dbPr connection="Data Model Connection" command="data" commandType="3"/>
    <extLst>
      <ext xmlns:x15="http://schemas.microsoft.com/office/spreadsheetml/2010/11/main" uri="{DE250136-89BD-433C-8126-D09CA5730AF9}">
        <x15:connection id="" model="1"/>
      </ext>
    </extLst>
  </connection>
  <connection id="2" xr16:uid="{8B08AD39-F3C3-426F-ABC9-ABB5AB46D0D4}" name="Query - data" description="Connection to the 'data' query in the workbook." type="100" refreshedVersion="8" minRefreshableVersion="5">
    <extLst>
      <ext xmlns:x15="http://schemas.microsoft.com/office/spreadsheetml/2010/11/main" uri="{DE250136-89BD-433C-8126-D09CA5730AF9}">
        <x15:connection id="e1717780-b1ac-4efe-a2f6-b47c71d9e19b"/>
      </ext>
    </extLst>
  </connection>
  <connection id="3" xr16:uid="{5F198024-039E-40D1-8458-13D1601DC29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F876974A-40DC-4ADB-94E4-07B718896F74}" name="WorksheetConnection_HR_Project.xlsx!data" type="102" refreshedVersion="8" minRefreshableVersion="5">
    <extLst>
      <ext xmlns:x15="http://schemas.microsoft.com/office/spreadsheetml/2010/11/main" uri="{DE250136-89BD-433C-8126-D09CA5730AF9}">
        <x15:connection id="data 1" autoDelete="1">
          <x15:rangePr sourceName="_xlcn.WorksheetConnection_HR_Project.xlsxdata1"/>
        </x15:connection>
      </ext>
    </extLst>
  </connection>
</connections>
</file>

<file path=xl/sharedStrings.xml><?xml version="1.0" encoding="utf-8"?>
<sst xmlns="http://schemas.openxmlformats.org/spreadsheetml/2006/main" count="1371" uniqueCount="373">
  <si>
    <t>Emp ID</t>
  </si>
  <si>
    <t>Name</t>
  </si>
  <si>
    <t>Gender</t>
  </si>
  <si>
    <t>Education Qualification</t>
  </si>
  <si>
    <t>Date of Join</t>
  </si>
  <si>
    <t>Job Title</t>
  </si>
  <si>
    <t>Salary</t>
  </si>
  <si>
    <t>Age</t>
  </si>
  <si>
    <t>Leave Balance</t>
  </si>
  <si>
    <t>AC0073</t>
  </si>
  <si>
    <t>Shayne Stegel</t>
  </si>
  <si>
    <t>Male</t>
  </si>
  <si>
    <t>Master'S Degree</t>
  </si>
  <si>
    <t>Product Manager</t>
  </si>
  <si>
    <t>AC0052</t>
  </si>
  <si>
    <t>Ambros Murthwaite</t>
  </si>
  <si>
    <t>Female</t>
  </si>
  <si>
    <t>AC0121</t>
  </si>
  <si>
    <t>Aarav Verma</t>
  </si>
  <si>
    <t>AC0091</t>
  </si>
  <si>
    <t>Florinda Crace</t>
  </si>
  <si>
    <t>Marketing Manager</t>
  </si>
  <si>
    <t>AC0128</t>
  </si>
  <si>
    <t>Aarush Verma</t>
  </si>
  <si>
    <t>Production Operator</t>
  </si>
  <si>
    <t>AC0019</t>
  </si>
  <si>
    <t>Beverie Moffet</t>
  </si>
  <si>
    <t>AC0110</t>
  </si>
  <si>
    <t>Aarush Mishra</t>
  </si>
  <si>
    <t>AC0036</t>
  </si>
  <si>
    <t>Esmaria Denecamp</t>
  </si>
  <si>
    <t>AC0103</t>
  </si>
  <si>
    <t>Aarav Shah</t>
  </si>
  <si>
    <t>AC0157</t>
  </si>
  <si>
    <t>Michael Walkson</t>
  </si>
  <si>
    <t>AC0061</t>
  </si>
  <si>
    <t>My Hanscome</t>
  </si>
  <si>
    <t>AC0005</t>
  </si>
  <si>
    <t>Gigi Bohling</t>
  </si>
  <si>
    <t>Research Scientist</t>
  </si>
  <si>
    <t>AC0040</t>
  </si>
  <si>
    <t>Lindy Guillet</t>
  </si>
  <si>
    <t>Marketing Specialist</t>
  </si>
  <si>
    <t>AC0022</t>
  </si>
  <si>
    <t>Jehu Rudeforth</t>
  </si>
  <si>
    <t>Bachelor'S Degree</t>
  </si>
  <si>
    <t>AC0031</t>
  </si>
  <si>
    <t>Gray Seamon</t>
  </si>
  <si>
    <t>AC0047</t>
  </si>
  <si>
    <t>Hoyt D'Alesco</t>
  </si>
  <si>
    <t>AC0080</t>
  </si>
  <si>
    <t>Murry Dryburgh</t>
  </si>
  <si>
    <t>AC0114</t>
  </si>
  <si>
    <t>Pari Kumar</t>
  </si>
  <si>
    <t>AC0102</t>
  </si>
  <si>
    <t>Kiaan Rana</t>
  </si>
  <si>
    <t>Research Analyst</t>
  </si>
  <si>
    <t>AC0014</t>
  </si>
  <si>
    <t>Dotty Strutley</t>
  </si>
  <si>
    <t>AC0132</t>
  </si>
  <si>
    <t>Pari Gupta</t>
  </si>
  <si>
    <t>AC0072</t>
  </si>
  <si>
    <t>Trio Lipa</t>
  </si>
  <si>
    <t>AC0139</t>
  </si>
  <si>
    <t>Oreo Delight</t>
  </si>
  <si>
    <t>AC0028</t>
  </si>
  <si>
    <t>Ebonee Roxburgh</t>
  </si>
  <si>
    <t>AC0146</t>
  </si>
  <si>
    <t>Zagnut Nut</t>
  </si>
  <si>
    <t>AC0120</t>
  </si>
  <si>
    <t>Nestle Crunch</t>
  </si>
  <si>
    <t>AC0056</t>
  </si>
  <si>
    <t>Merrilee Plenty</t>
  </si>
  <si>
    <t>AC0156</t>
  </si>
  <si>
    <t>Kiaan Shah</t>
  </si>
  <si>
    <t>AC0127</t>
  </si>
  <si>
    <t>Advait Kumar</t>
  </si>
  <si>
    <t>Packaging Associate</t>
  </si>
  <si>
    <t>AC0090</t>
  </si>
  <si>
    <t>Bernie Gorges</t>
  </si>
  <si>
    <t>Chocolatier</t>
  </si>
  <si>
    <t>AC0109</t>
  </si>
  <si>
    <t>Advait Sharma</t>
  </si>
  <si>
    <t>AC0095</t>
  </si>
  <si>
    <t>Dev Joshi</t>
  </si>
  <si>
    <t>AC0065</t>
  </si>
  <si>
    <t>Tracy Renad</t>
  </si>
  <si>
    <t>AC0015</t>
  </si>
  <si>
    <t>Kelci Walkden</t>
  </si>
  <si>
    <t>AC0032</t>
  </si>
  <si>
    <t>Benny Karolovsky</t>
  </si>
  <si>
    <t>AC0048</t>
  </si>
  <si>
    <t>Crissie Cordel</t>
  </si>
  <si>
    <t>AC0117</t>
  </si>
  <si>
    <t>Reyansh Malhotra</t>
  </si>
  <si>
    <t>Quality Control</t>
  </si>
  <si>
    <t>AC0113</t>
  </si>
  <si>
    <t>Dev Agarwal</t>
  </si>
  <si>
    <t>AC0027</t>
  </si>
  <si>
    <t>Niall Selesnick</t>
  </si>
  <si>
    <t>AC0099</t>
  </si>
  <si>
    <t>Reyansh Iyer</t>
  </si>
  <si>
    <t>AC0071</t>
  </si>
  <si>
    <t>Sibyl Dunkirk</t>
  </si>
  <si>
    <t>Diploma</t>
  </si>
  <si>
    <t>AC0039</t>
  </si>
  <si>
    <t>Archibald Filliskirk</t>
  </si>
  <si>
    <t>AC0055</t>
  </si>
  <si>
    <t>Violante Courtonne</t>
  </si>
  <si>
    <t>AC0010</t>
  </si>
  <si>
    <t>Brien Boise</t>
  </si>
  <si>
    <t>AC0084</t>
  </si>
  <si>
    <t>Almond Joy</t>
  </si>
  <si>
    <t>AC0094</t>
  </si>
  <si>
    <t>Zara Mishra</t>
  </si>
  <si>
    <t>AC0148</t>
  </si>
  <si>
    <t>Zara Verma</t>
  </si>
  <si>
    <t>AC0151</t>
  </si>
  <si>
    <t>Aanya Singh</t>
  </si>
  <si>
    <t>High School Diploma</t>
  </si>
  <si>
    <t>AC0089</t>
  </si>
  <si>
    <t>Tawnya Tickel</t>
  </si>
  <si>
    <t>AC0081</t>
  </si>
  <si>
    <t>Mahalia Larcher</t>
  </si>
  <si>
    <t>AC0160</t>
  </si>
  <si>
    <t>Siya Sharma</t>
  </si>
  <si>
    <t>AC0021</t>
  </si>
  <si>
    <t>Mallorie Waber</t>
  </si>
  <si>
    <t>AC0106</t>
  </si>
  <si>
    <t>Siya Trivedi</t>
  </si>
  <si>
    <t>AC0060</t>
  </si>
  <si>
    <t>Shari Mcnee</t>
  </si>
  <si>
    <t>AC0066</t>
  </si>
  <si>
    <t>Kassi Jonson</t>
  </si>
  <si>
    <t>AC0124</t>
  </si>
  <si>
    <t>Siya Rawat</t>
  </si>
  <si>
    <t>AC0076</t>
  </si>
  <si>
    <t>Teressa Udden</t>
  </si>
  <si>
    <t>AC0145</t>
  </si>
  <si>
    <t>Advait Kapoor</t>
  </si>
  <si>
    <t>AC0004</t>
  </si>
  <si>
    <t>Wilone O'Kielt</t>
  </si>
  <si>
    <t>AC0136</t>
  </si>
  <si>
    <t>Lindt Truffle</t>
  </si>
  <si>
    <t>AC0155</t>
  </si>
  <si>
    <t>Avani Iyer</t>
  </si>
  <si>
    <t>AC0131</t>
  </si>
  <si>
    <t>AC0030</t>
  </si>
  <si>
    <t>Orton Livick</t>
  </si>
  <si>
    <t>AC0062</t>
  </si>
  <si>
    <t>Drusy Maccombe</t>
  </si>
  <si>
    <t>AC0035</t>
  </si>
  <si>
    <t>Madge Mccloughen</t>
  </si>
  <si>
    <t>Sales Representative</t>
  </si>
  <si>
    <t>AC0147</t>
  </si>
  <si>
    <t>Anika Joshi</t>
  </si>
  <si>
    <t>AC0098</t>
  </si>
  <si>
    <t>Kiara Choudhary</t>
  </si>
  <si>
    <t>AC0042</t>
  </si>
  <si>
    <t>Ewart Laphorn</t>
  </si>
  <si>
    <t>AC0012</t>
  </si>
  <si>
    <t>Karlen Mccaffrey</t>
  </si>
  <si>
    <t>AC0069</t>
  </si>
  <si>
    <t>Gretchen Callow</t>
  </si>
  <si>
    <t>AC0045</t>
  </si>
  <si>
    <t>Kaye Crocroft</t>
  </si>
  <si>
    <t>AC0086</t>
  </si>
  <si>
    <t>Collin Jagson</t>
  </si>
  <si>
    <t>AC0150</t>
  </si>
  <si>
    <t>AC0159</t>
  </si>
  <si>
    <t>Krish Rawat</t>
  </si>
  <si>
    <t>AC0001</t>
  </si>
  <si>
    <t>Barr Faughny</t>
  </si>
  <si>
    <t>AC0079</t>
  </si>
  <si>
    <t>A R Rahadude</t>
  </si>
  <si>
    <t>AC0105</t>
  </si>
  <si>
    <t>Munch Munch</t>
  </si>
  <si>
    <t>AC0123</t>
  </si>
  <si>
    <t>Krish Trivedi</t>
  </si>
  <si>
    <t>AC0116</t>
  </si>
  <si>
    <t>Kiara Joshi</t>
  </si>
  <si>
    <t>AC0075</t>
  </si>
  <si>
    <t>Agnes Collicott</t>
  </si>
  <si>
    <t>AC0008</t>
  </si>
  <si>
    <t>Ches Bonnell</t>
  </si>
  <si>
    <t>AC0058</t>
  </si>
  <si>
    <t>Kath Bletsoe</t>
  </si>
  <si>
    <t>AC0130</t>
  </si>
  <si>
    <t>Zara Chawla</t>
  </si>
  <si>
    <t>AC0024</t>
  </si>
  <si>
    <t>Roddy Speechley</t>
  </si>
  <si>
    <t>AC0093</t>
  </si>
  <si>
    <t>Anvi Verma</t>
  </si>
  <si>
    <t>AC0051</t>
  </si>
  <si>
    <t>Kissiah Maydway</t>
  </si>
  <si>
    <t>AC0135</t>
  </si>
  <si>
    <t>Reyansh Rana</t>
  </si>
  <si>
    <t>AC0154</t>
  </si>
  <si>
    <t>Eltin John</t>
  </si>
  <si>
    <t>AC0112</t>
  </si>
  <si>
    <t>AC0018</t>
  </si>
  <si>
    <t>Madelene Upcott</t>
  </si>
  <si>
    <t>AC0142</t>
  </si>
  <si>
    <t>AC0023</t>
  </si>
  <si>
    <t>Van Tuxwell</t>
  </si>
  <si>
    <t>AC0087</t>
  </si>
  <si>
    <t>Kellsie Waby</t>
  </si>
  <si>
    <t>AC0002</t>
  </si>
  <si>
    <t>Dennison Crosswaite</t>
  </si>
  <si>
    <t>AC0034</t>
  </si>
  <si>
    <t>Erin Androsik</t>
  </si>
  <si>
    <t>AC0050</t>
  </si>
  <si>
    <t>Enoch Dowrey</t>
  </si>
  <si>
    <t>AC0101</t>
  </si>
  <si>
    <t>Avani Malhotra</t>
  </si>
  <si>
    <t>AC0138</t>
  </si>
  <si>
    <t>AC0119</t>
  </si>
  <si>
    <t>Avani Agarwal</t>
  </si>
  <si>
    <t>AC0153</t>
  </si>
  <si>
    <t>AC0078</t>
  </si>
  <si>
    <t>Elia Cockton</t>
  </si>
  <si>
    <t>AC0108</t>
  </si>
  <si>
    <t>Rhea Saxena</t>
  </si>
  <si>
    <t>AC0134</t>
  </si>
  <si>
    <t>Kiara Bhatia</t>
  </si>
  <si>
    <t>AC0068</t>
  </si>
  <si>
    <t>Mollie Hanway</t>
  </si>
  <si>
    <t>AC0144</t>
  </si>
  <si>
    <t>Rhea Malhotra</t>
  </si>
  <si>
    <t>AC0126</t>
  </si>
  <si>
    <t>Rhea Bhatia</t>
  </si>
  <si>
    <t>AC0017</t>
  </si>
  <si>
    <t>Rafaelita Blaksland</t>
  </si>
  <si>
    <t>AC0064</t>
  </si>
  <si>
    <t>William Reeveley</t>
  </si>
  <si>
    <t>AC0141</t>
  </si>
  <si>
    <t>AC0041</t>
  </si>
  <si>
    <t>Dell Molloy</t>
  </si>
  <si>
    <t>AC0097</t>
  </si>
  <si>
    <t>Aanya Kapoor</t>
  </si>
  <si>
    <t>AC0013</t>
  </si>
  <si>
    <t>Jan Morforth</t>
  </si>
  <si>
    <t>AC0046</t>
  </si>
  <si>
    <t>AC0009</t>
  </si>
  <si>
    <t>Andria Kimpton</t>
  </si>
  <si>
    <t>AC0149</t>
  </si>
  <si>
    <t>Dev Chawla</t>
  </si>
  <si>
    <t>AC0115</t>
  </si>
  <si>
    <t>AC0057</t>
  </si>
  <si>
    <t>Tatum Hush</t>
  </si>
  <si>
    <t>AC0083</t>
  </si>
  <si>
    <t>Lilyan Klimpt</t>
  </si>
  <si>
    <t>AC0007</t>
  </si>
  <si>
    <t>Kaine Padly</t>
  </si>
  <si>
    <t>AC0133</t>
  </si>
  <si>
    <t>Aanya Trivedi</t>
  </si>
  <si>
    <t>AC0125</t>
  </si>
  <si>
    <t>Kabir Shah</t>
  </si>
  <si>
    <t>AC0067</t>
  </si>
  <si>
    <t>Constantino Espley</t>
  </si>
  <si>
    <t>AC0107</t>
  </si>
  <si>
    <t>Kabir Kapoor</t>
  </si>
  <si>
    <t>AC0082</t>
  </si>
  <si>
    <t>Bili Sizey</t>
  </si>
  <si>
    <t>AC0161</t>
  </si>
  <si>
    <t>Kabir Trivedi</t>
  </si>
  <si>
    <t>AC0020</t>
  </si>
  <si>
    <t>Oby Sorrel</t>
  </si>
  <si>
    <t>AC0077</t>
  </si>
  <si>
    <t>Bennie Pepis</t>
  </si>
  <si>
    <t>AC0140</t>
  </si>
  <si>
    <t>Anaya Agarwal</t>
  </si>
  <si>
    <t>AC0088</t>
  </si>
  <si>
    <t>Simon Kembery</t>
  </si>
  <si>
    <t>AC0016</t>
  </si>
  <si>
    <t>Marney O'Breen</t>
  </si>
  <si>
    <t>AC0063</t>
  </si>
  <si>
    <t>Halimeda Kuscha</t>
  </si>
  <si>
    <t>AC0049</t>
  </si>
  <si>
    <t>Myer Mccory</t>
  </si>
  <si>
    <t>AC0011</t>
  </si>
  <si>
    <t>Husein Augar</t>
  </si>
  <si>
    <t>AC0118</t>
  </si>
  <si>
    <t>M&amp;M Peanut</t>
  </si>
  <si>
    <t>AC0003</t>
  </si>
  <si>
    <t>Gunar Cockshoot</t>
  </si>
  <si>
    <t>AC0033</t>
  </si>
  <si>
    <t>Dyna Doucette</t>
  </si>
  <si>
    <t>AC0038</t>
  </si>
  <si>
    <t>Valentia Etteridge</t>
  </si>
  <si>
    <t>AC0026</t>
  </si>
  <si>
    <t>Janene Hairsine</t>
  </si>
  <si>
    <t>AC0044</t>
  </si>
  <si>
    <t>Virginia Mcconville</t>
  </si>
  <si>
    <t>AC0100</t>
  </si>
  <si>
    <t>Samaira Agarwal</t>
  </si>
  <si>
    <t>AC0054</t>
  </si>
  <si>
    <t>Allene Gobbet</t>
  </si>
  <si>
    <t>AC0043</t>
  </si>
  <si>
    <t>Vic Radolf</t>
  </si>
  <si>
    <t>AC0129</t>
  </si>
  <si>
    <t>Anika Singh</t>
  </si>
  <si>
    <t>AC0137</t>
  </si>
  <si>
    <t>AC0070</t>
  </si>
  <si>
    <t>Bev Lashley</t>
  </si>
  <si>
    <t>AC0104</t>
  </si>
  <si>
    <t>Anaya Gupta</t>
  </si>
  <si>
    <t>AC0122</t>
  </si>
  <si>
    <t>Anaya Choudhary</t>
  </si>
  <si>
    <t>AC0143</t>
  </si>
  <si>
    <t>AC0025</t>
  </si>
  <si>
    <t>Camilla Castle</t>
  </si>
  <si>
    <t>AC0053</t>
  </si>
  <si>
    <t>Torrance Collier</t>
  </si>
  <si>
    <t>AC0074</t>
  </si>
  <si>
    <t>Hyacinthie Braybrooke</t>
  </si>
  <si>
    <t>AC0152</t>
  </si>
  <si>
    <t>AC0006</t>
  </si>
  <si>
    <t>Curtice Advani</t>
  </si>
  <si>
    <t>AC0092</t>
  </si>
  <si>
    <t>Oran Buxcy</t>
  </si>
  <si>
    <t>AC0037</t>
  </si>
  <si>
    <t>Hogan Iles</t>
  </si>
  <si>
    <t>AC0158</t>
  </si>
  <si>
    <t>AC0085</t>
  </si>
  <si>
    <t>Leilah Yesinin</t>
  </si>
  <si>
    <t>AC0096</t>
  </si>
  <si>
    <t>Pari Sharma</t>
  </si>
  <si>
    <t>AC0111</t>
  </si>
  <si>
    <t>Anika Chawla</t>
  </si>
  <si>
    <t>AC0029</t>
  </si>
  <si>
    <t>Zach Polon</t>
  </si>
  <si>
    <t>AC0059</t>
  </si>
  <si>
    <t>Hinda Label</t>
  </si>
  <si>
    <t>Years of Service</t>
  </si>
  <si>
    <t>Age Group</t>
  </si>
  <si>
    <t>Salary Band</t>
  </si>
  <si>
    <t>Join Year</t>
  </si>
  <si>
    <t>Join Month</t>
  </si>
  <si>
    <t>Quarter</t>
  </si>
  <si>
    <t>31-40</t>
  </si>
  <si>
    <t>80K+</t>
  </si>
  <si>
    <t>60K-80K</t>
  </si>
  <si>
    <t>0-40K</t>
  </si>
  <si>
    <t>May</t>
  </si>
  <si>
    <t>40K-60K</t>
  </si>
  <si>
    <t>50+</t>
  </si>
  <si>
    <t>20-30</t>
  </si>
  <si>
    <t>41-50</t>
  </si>
  <si>
    <t>Total Payroll Cost</t>
  </si>
  <si>
    <t>Total Employees</t>
  </si>
  <si>
    <t>Grand Total</t>
  </si>
  <si>
    <t>Average Salary</t>
  </si>
  <si>
    <t>Average Years of Service</t>
  </si>
  <si>
    <t>Average Leave Balance</t>
  </si>
  <si>
    <t>Count of Emp ID</t>
  </si>
  <si>
    <t>Count of Employees</t>
  </si>
  <si>
    <t>Apr</t>
  </si>
  <si>
    <t>Jun</t>
  </si>
  <si>
    <t>Jul</t>
  </si>
  <si>
    <t>Nov</t>
  </si>
  <si>
    <t>Sep</t>
  </si>
  <si>
    <t>Oct</t>
  </si>
  <si>
    <t>Dec</t>
  </si>
  <si>
    <t>Mar</t>
  </si>
  <si>
    <t>Aug</t>
  </si>
  <si>
    <t>Jan</t>
  </si>
  <si>
    <t>Feb</t>
  </si>
  <si>
    <t>Education</t>
  </si>
  <si>
    <t>Num of Emp</t>
  </si>
  <si>
    <t>Months</t>
  </si>
  <si>
    <t>Num of empp</t>
  </si>
  <si>
    <t>Average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</si>
</sst>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5F7FA"/>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2" borderId="0" xfId="0" applyFill="1"/>
    <xf numFmtId="164" fontId="0" fillId="0" borderId="0" xfId="0" applyNumberFormat="1"/>
    <xf numFmtId="0" fontId="0" fillId="0" borderId="0" xfId="0" applyNumberFormat="1"/>
  </cellXfs>
  <cellStyles count="1">
    <cellStyle name="Normal" xfId="0" builtinId="0"/>
  </cellStyles>
  <dxfs count="28">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font>
        <b/>
        <i val="0"/>
        <color rgb="FF1E3A5F"/>
        <name val="Segoe UI"/>
        <family val="2"/>
        <scheme val="none"/>
      </font>
    </dxf>
    <dxf>
      <fill>
        <patternFill>
          <bgColor theme="0"/>
        </patternFill>
      </fill>
    </dxf>
    <dxf>
      <font>
        <b val="0"/>
        <i val="0"/>
      </font>
      <fill>
        <patternFill patternType="none">
          <bgColor auto="1"/>
        </patternFill>
      </fill>
      <border>
        <right style="thin">
          <color auto="1"/>
        </right>
      </border>
    </dxf>
  </dxfs>
  <tableStyles count="2" defaultTableStyle="TableStyleMedium2" defaultPivotStyle="PivotStyleLight16">
    <tableStyle name="HR" pivot="0" table="0" count="5" xr9:uid="{2EBF1C48-00EB-4AB5-ABF2-26B5119F7B29}">
      <tableStyleElement type="headerRow" dxfId="27"/>
    </tableStyle>
    <tableStyle name="HR 2" pivot="0" table="0" count="6" xr9:uid="{DF64E171-6E35-493D-9034-C7E61C5E43BE}">
      <tableStyleElement type="wholeTable" dxfId="26"/>
      <tableStyleElement type="headerRow" dxfId="25"/>
    </tableStyle>
  </tableStyles>
  <colors>
    <mruColors>
      <color rgb="FF1E3A5F"/>
      <color rgb="FF2563EB"/>
      <color rgb="FF5EEAD4"/>
      <color rgb="FF14B8A6"/>
      <color rgb="FF3B82F6"/>
      <color rgb="FF0F766E"/>
      <color rgb="FF60A5FA"/>
      <color rgb="FFCCFBF1"/>
      <color rgb="FFBFDBFE"/>
      <color rgb="FFE5E7EB"/>
    </mruColors>
  </colors>
  <extLst>
    <ext xmlns:x14="http://schemas.microsoft.com/office/spreadsheetml/2009/9/main" uri="{46F421CA-312F-682f-3DD2-61675219B42D}">
      <x14:dxfs count="8">
        <dxf>
          <fill>
            <patternFill>
              <bgColor theme="0"/>
            </patternFill>
          </fill>
        </dxf>
        <dxf>
          <fill>
            <patternFill>
              <bgColor theme="2" tint="-0.499984740745262"/>
            </patternFill>
          </fill>
        </dxf>
        <dxf>
          <font>
            <b/>
            <i val="0"/>
            <color theme="0"/>
          </font>
          <fill>
            <patternFill>
              <bgColor rgb="FF1E3A5F"/>
            </patternFill>
          </fill>
        </dxf>
        <dxf>
          <font>
            <b val="0"/>
            <i val="0"/>
            <color rgb="FF4B5563"/>
          </font>
          <fill>
            <patternFill>
              <bgColor rgb="FFF9FAFB"/>
            </patternFill>
          </fill>
          <border>
            <left style="thin">
              <color auto="1"/>
            </left>
            <right style="thin">
              <color auto="1"/>
            </right>
            <top style="thin">
              <color auto="1"/>
            </top>
            <bottom style="thin">
              <color auto="1"/>
            </bottom>
          </border>
        </dxf>
        <dxf>
          <fill>
            <patternFill>
              <bgColor theme="2" tint="-9.9948118533890809E-2"/>
            </patternFill>
          </fill>
        </dxf>
        <dxf>
          <font>
            <b val="0"/>
            <i val="0"/>
          </font>
          <fill>
            <patternFill>
              <fgColor rgb="FF06B6D4"/>
              <bgColor rgb="FF00B0F0"/>
            </patternFill>
          </fill>
          <border>
            <right style="thin">
              <color rgb="FF3B82F6"/>
            </right>
          </border>
        </dxf>
        <dxf>
          <font>
            <b val="0"/>
            <i val="0"/>
          </font>
          <fill>
            <patternFill>
              <fgColor rgb="FF3B82F6"/>
              <bgColor rgb="FF0070C0"/>
            </patternFill>
          </fill>
          <border>
            <right style="thin">
              <color rgb="FF3B82F6"/>
            </right>
          </border>
        </dxf>
        <dxf>
          <font>
            <b val="0"/>
            <i val="0"/>
          </font>
          <fill>
            <patternFill>
              <bgColor rgb="FF00B0F0"/>
            </patternFill>
          </fill>
          <border>
            <right style="thin">
              <color auto="1"/>
            </right>
          </border>
        </dxf>
      </x14:dxfs>
    </ext>
    <ext xmlns:x14="http://schemas.microsoft.com/office/spreadsheetml/2009/9/main" uri="{EB79DEF2-80B8-43e5-95BD-54CBDDF9020C}">
      <x14:slicerStyles defaultSlicerStyle="SlicerStyleLight1">
        <x14:slicerStyle name="HR">
          <x14:slicerStyleElements>
            <x14:slicerStyleElement type="unselectedItemWithData" dxfId="7"/>
            <x14:slicerStyleElement type="selectedItemWithData" dxfId="6"/>
            <x14:slicerStyleElement type="selectedItemWithNoData" dxfId="5"/>
            <x14:slicerStyleElement type="hoveredSelectedItemWithData" dxfId="4"/>
          </x14:slicerStyleElements>
        </x14:slicerStyle>
        <x14:slicerStyle name="HR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tyles" Target="styles.xml"/><Relationship Id="rId10" Type="http://schemas.openxmlformats.org/officeDocument/2006/relationships/pivotCacheDefinition" Target="pivotCache/pivotCacheDefinition7.xml"/><Relationship Id="rId19" Type="http://schemas.microsoft.com/office/2007/relationships/slicerCache" Target="slicerCaches/slicerCache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[HR_Project.xlsx]Pivot!PivotTable7</c:name>
    <c:fmtId val="6"/>
  </c:pivotSource>
  <c:chart>
    <c:title>
      <c:tx>
        <c:rich>
          <a:bodyPr rot="0" spcFirstLastPara="1" vertOverflow="ellipsis" vert="horz" wrap="square" anchor="ctr" anchorCtr="1"/>
          <a:lstStyle/>
          <a:p>
            <a:pPr>
              <a:defRPr sz="2400" b="1" i="0" u="none" strike="noStrike" kern="1200" spc="0" baseline="0">
                <a:solidFill>
                  <a:srgbClr val="1E3A5F"/>
                </a:solidFill>
                <a:latin typeface="+mn-lt"/>
                <a:ea typeface="+mn-ea"/>
                <a:cs typeface="+mn-cs"/>
              </a:defRPr>
            </a:pPr>
            <a:r>
              <a:rPr lang="en-US" sz="2400" b="1" i="0" u="none" strike="noStrike" baseline="0">
                <a:solidFill>
                  <a:srgbClr val="1E3A5F"/>
                </a:solidFill>
              </a:rPr>
              <a:t>AVG Payroll Cost by Job Title</a:t>
            </a:r>
            <a:endParaRPr lang="en-US" sz="2400" b="1">
              <a:solidFill>
                <a:srgbClr val="1E3A5F"/>
              </a:solidFill>
            </a:endParaRPr>
          </a:p>
        </c:rich>
      </c:tx>
      <c:layout>
        <c:manualLayout>
          <c:xMode val="edge"/>
          <c:yMode val="edge"/>
          <c:x val="5.6838856952398249E-6"/>
          <c:y val="2.1071274639926324E-3"/>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rgbClr val="1E3A5F"/>
              </a:solidFill>
              <a:latin typeface="+mn-lt"/>
              <a:ea typeface="+mn-ea"/>
              <a:cs typeface="+mn-cs"/>
            </a:defRPr>
          </a:pPr>
          <a:endParaRPr lang="en-US"/>
        </a:p>
      </c:txPr>
    </c:title>
    <c:autoTitleDeleted val="0"/>
    <c:pivotFmts>
      <c:pivotFmt>
        <c:idx val="0"/>
        <c:spPr>
          <a:solidFill>
            <a:srgbClr val="06B6D4">
              <a:alpha val="8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6B6D4">
              <a:alpha val="8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6B6D4">
              <a:alpha val="8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Pivot!$H$9</c:f>
              <c:strCache>
                <c:ptCount val="1"/>
                <c:pt idx="0">
                  <c:v>Total</c:v>
                </c:pt>
              </c:strCache>
            </c:strRef>
          </c:tx>
          <c:spPr>
            <a:solidFill>
              <a:srgbClr val="06B6D4">
                <a:alpha val="8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Pivot!$G$10:$G$20</c:f>
              <c:strCache>
                <c:ptCount val="10"/>
                <c:pt idx="0">
                  <c:v>Chocolatier</c:v>
                </c:pt>
                <c:pt idx="1">
                  <c:v>Marketing Manager</c:v>
                </c:pt>
                <c:pt idx="2">
                  <c:v>Marketing Specialist</c:v>
                </c:pt>
                <c:pt idx="3">
                  <c:v>Packaging Associate</c:v>
                </c:pt>
                <c:pt idx="4">
                  <c:v>Product Manager</c:v>
                </c:pt>
                <c:pt idx="5">
                  <c:v>Production Operator</c:v>
                </c:pt>
                <c:pt idx="6">
                  <c:v>Quality Control</c:v>
                </c:pt>
                <c:pt idx="7">
                  <c:v>Research Analyst</c:v>
                </c:pt>
                <c:pt idx="8">
                  <c:v>Research Scientist</c:v>
                </c:pt>
                <c:pt idx="9">
                  <c:v>Sales Representative</c:v>
                </c:pt>
              </c:strCache>
            </c:strRef>
          </c:cat>
          <c:val>
            <c:numRef>
              <c:f>Pivot!$H$10:$H$20</c:f>
              <c:numCache>
                <c:formatCode>"$"#,##0</c:formatCode>
                <c:ptCount val="10"/>
                <c:pt idx="0">
                  <c:v>52176.470588235294</c:v>
                </c:pt>
                <c:pt idx="1">
                  <c:v>73530</c:v>
                </c:pt>
                <c:pt idx="2">
                  <c:v>62170</c:v>
                </c:pt>
                <c:pt idx="3">
                  <c:v>33409.090909090912</c:v>
                </c:pt>
                <c:pt idx="4">
                  <c:v>82825</c:v>
                </c:pt>
                <c:pt idx="5">
                  <c:v>37500</c:v>
                </c:pt>
                <c:pt idx="6">
                  <c:v>43135.294117647056</c:v>
                </c:pt>
                <c:pt idx="7">
                  <c:v>57812.5</c:v>
                </c:pt>
                <c:pt idx="8">
                  <c:v>77566.666666666672</c:v>
                </c:pt>
                <c:pt idx="9">
                  <c:v>47511.111111111109</c:v>
                </c:pt>
              </c:numCache>
            </c:numRef>
          </c:val>
          <c:extLst>
            <c:ext xmlns:c16="http://schemas.microsoft.com/office/drawing/2014/chart" uri="{C3380CC4-5D6E-409C-BE32-E72D297353CC}">
              <c16:uniqueId val="{00000000-7739-4F26-8F3D-2864F8C581CE}"/>
            </c:ext>
          </c:extLst>
        </c:ser>
        <c:dLbls>
          <c:showLegendKey val="0"/>
          <c:showVal val="0"/>
          <c:showCatName val="0"/>
          <c:showSerName val="0"/>
          <c:showPercent val="0"/>
          <c:showBubbleSize val="0"/>
        </c:dLbls>
        <c:gapWidth val="182"/>
        <c:axId val="412200832"/>
        <c:axId val="412197472"/>
      </c:barChart>
      <c:catAx>
        <c:axId val="412200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5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412197472"/>
        <c:crosses val="autoZero"/>
        <c:auto val="1"/>
        <c:lblAlgn val="ctr"/>
        <c:lblOffset val="100"/>
        <c:noMultiLvlLbl val="0"/>
      </c:catAx>
      <c:valAx>
        <c:axId val="412197472"/>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800">
                    <a:latin typeface="Segoe UI" panose="020B0502040204020203" pitchFamily="34" charset="0"/>
                    <a:cs typeface="Segoe UI" panose="020B0502040204020203" pitchFamily="34" charset="0"/>
                  </a:rPr>
                  <a:t> AVG Payroll(USD)</a:t>
                </a:r>
              </a:p>
            </c:rich>
          </c:tx>
          <c:layout>
            <c:manualLayout>
              <c:xMode val="edge"/>
              <c:yMode val="edge"/>
              <c:x val="0.44876960759468915"/>
              <c:y val="0.93905914269531543"/>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41220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[HR_Project.xlsx]Pivot!PivotTable6</c:name>
    <c:fmtId val="7"/>
  </c:pivotSource>
  <c:chart>
    <c:title>
      <c:tx>
        <c:rich>
          <a:bodyPr rot="0" spcFirstLastPara="1" vertOverflow="ellipsis" vert="horz" wrap="square" anchor="ctr" anchorCtr="1"/>
          <a:lstStyle/>
          <a:p>
            <a:pPr>
              <a:defRPr sz="2400" b="1" i="0" u="none" strike="noStrike" kern="1200" spc="0" baseline="0">
                <a:solidFill>
                  <a:srgbClr val="1E3A5F"/>
                </a:solidFill>
                <a:latin typeface="Segoe UI" panose="020B0502040204020203" pitchFamily="34" charset="0"/>
                <a:ea typeface="+mn-ea"/>
                <a:cs typeface="Segoe UI" panose="020B0502040204020203" pitchFamily="34" charset="0"/>
              </a:defRPr>
            </a:pPr>
            <a:r>
              <a:rPr lang="en-US" sz="2400" b="1" i="0" u="none" strike="noStrike" baseline="0">
                <a:solidFill>
                  <a:srgbClr val="1E3A5F"/>
                </a:solidFill>
                <a:latin typeface="Segoe UI" panose="020B0502040204020203" pitchFamily="34" charset="0"/>
                <a:cs typeface="Segoe UI" panose="020B0502040204020203" pitchFamily="34" charset="0"/>
              </a:rPr>
              <a:t>Employees by Job Title</a:t>
            </a:r>
            <a:endParaRPr lang="en-US" sz="2400" b="1">
              <a:solidFill>
                <a:srgbClr val="1E3A5F"/>
              </a:solidFill>
              <a:latin typeface="Segoe UI" panose="020B0502040204020203" pitchFamily="34" charset="0"/>
              <a:cs typeface="Segoe UI" panose="020B0502040204020203" pitchFamily="34" charset="0"/>
            </a:endParaRPr>
          </a:p>
        </c:rich>
      </c:tx>
      <c:layout>
        <c:manualLayout>
          <c:xMode val="edge"/>
          <c:yMode val="edge"/>
          <c:x val="2.6877216850711616E-4"/>
          <c:y val="1.7944593908972013E-3"/>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rgbClr val="1E3A5F"/>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gradFill>
            <a:gsLst>
              <a:gs pos="0">
                <a:srgbClr val="06B6D4"/>
              </a:gs>
              <a:gs pos="100000">
                <a:srgbClr val="3B82F6"/>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06B6D4"/>
              </a:gs>
              <a:gs pos="100000">
                <a:srgbClr val="3B82F6"/>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6B6D4"/>
              </a:gs>
              <a:gs pos="100000">
                <a:srgbClr val="3B82F6"/>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c:f>
              <c:strCache>
                <c:ptCount val="1"/>
                <c:pt idx="0">
                  <c:v>Total</c:v>
                </c:pt>
              </c:strCache>
            </c:strRef>
          </c:tx>
          <c:spPr>
            <a:gradFill>
              <a:gsLst>
                <a:gs pos="0">
                  <a:srgbClr val="06B6D4"/>
                </a:gs>
                <a:gs pos="100000">
                  <a:srgbClr val="3B82F6"/>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Pivot!$A$10:$A$20</c:f>
              <c:strCache>
                <c:ptCount val="10"/>
                <c:pt idx="0">
                  <c:v>Chocolatier</c:v>
                </c:pt>
                <c:pt idx="1">
                  <c:v>Marketing Manager</c:v>
                </c:pt>
                <c:pt idx="2">
                  <c:v>Marketing Specialist</c:v>
                </c:pt>
                <c:pt idx="3">
                  <c:v>Packaging Associate</c:v>
                </c:pt>
                <c:pt idx="4">
                  <c:v>Product Manager</c:v>
                </c:pt>
                <c:pt idx="5">
                  <c:v>Production Operator</c:v>
                </c:pt>
                <c:pt idx="6">
                  <c:v>Quality Control</c:v>
                </c:pt>
                <c:pt idx="7">
                  <c:v>Research Analyst</c:v>
                </c:pt>
                <c:pt idx="8">
                  <c:v>Research Scientist</c:v>
                </c:pt>
                <c:pt idx="9">
                  <c:v>Sales Representative</c:v>
                </c:pt>
              </c:strCache>
            </c:strRef>
          </c:cat>
          <c:val>
            <c:numRef>
              <c:f>Pivot!$B$10:$B$20</c:f>
              <c:numCache>
                <c:formatCode>General</c:formatCode>
                <c:ptCount val="10"/>
                <c:pt idx="0">
                  <c:v>17</c:v>
                </c:pt>
                <c:pt idx="1">
                  <c:v>10</c:v>
                </c:pt>
                <c:pt idx="2">
                  <c:v>10</c:v>
                </c:pt>
                <c:pt idx="3">
                  <c:v>22</c:v>
                </c:pt>
                <c:pt idx="4">
                  <c:v>16</c:v>
                </c:pt>
                <c:pt idx="5">
                  <c:v>20</c:v>
                </c:pt>
                <c:pt idx="6">
                  <c:v>17</c:v>
                </c:pt>
                <c:pt idx="7">
                  <c:v>16</c:v>
                </c:pt>
                <c:pt idx="8">
                  <c:v>15</c:v>
                </c:pt>
                <c:pt idx="9">
                  <c:v>18</c:v>
                </c:pt>
              </c:numCache>
            </c:numRef>
          </c:val>
          <c:extLst>
            <c:ext xmlns:c16="http://schemas.microsoft.com/office/drawing/2014/chart" uri="{C3380CC4-5D6E-409C-BE32-E72D297353CC}">
              <c16:uniqueId val="{00000000-89AE-4C62-AB38-0FA299A7BB51}"/>
            </c:ext>
          </c:extLst>
        </c:ser>
        <c:dLbls>
          <c:dLblPos val="outEnd"/>
          <c:showLegendKey val="0"/>
          <c:showVal val="1"/>
          <c:showCatName val="0"/>
          <c:showSerName val="0"/>
          <c:showPercent val="0"/>
          <c:showBubbleSize val="0"/>
        </c:dLbls>
        <c:gapWidth val="182"/>
        <c:axId val="412197952"/>
        <c:axId val="412187392"/>
      </c:barChart>
      <c:catAx>
        <c:axId val="41219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5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412187392"/>
        <c:crosses val="autoZero"/>
        <c:auto val="1"/>
        <c:lblAlgn val="ctr"/>
        <c:lblOffset val="100"/>
        <c:noMultiLvlLbl val="0"/>
      </c:catAx>
      <c:valAx>
        <c:axId val="412187392"/>
        <c:scaling>
          <c:orientation val="minMax"/>
        </c:scaling>
        <c:delete val="0"/>
        <c:axPos val="b"/>
        <c:title>
          <c:tx>
            <c:rich>
              <a:bodyPr rot="0" spcFirstLastPara="1" vertOverflow="ellipsis" vert="horz" wrap="square" anchor="ctr" anchorCtr="1"/>
              <a:lstStyle/>
              <a:p>
                <a:pPr>
                  <a:defRPr sz="16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r>
                  <a:rPr lang="en-US" sz="1600">
                    <a:solidFill>
                      <a:sysClr val="windowText" lastClr="000000"/>
                    </a:solidFill>
                    <a:latin typeface="Segoe UI" panose="020B0502040204020203" pitchFamily="34" charset="0"/>
                    <a:cs typeface="Segoe UI" panose="020B0502040204020203" pitchFamily="34" charset="0"/>
                  </a:rPr>
                  <a:t>Number</a:t>
                </a:r>
                <a:r>
                  <a:rPr lang="en-US" sz="1600" baseline="0">
                    <a:solidFill>
                      <a:sysClr val="windowText" lastClr="000000"/>
                    </a:solidFill>
                    <a:latin typeface="Segoe UI" panose="020B0502040204020203" pitchFamily="34" charset="0"/>
                    <a:cs typeface="Segoe UI" panose="020B0502040204020203" pitchFamily="34" charset="0"/>
                  </a:rPr>
                  <a:t> Of Employees</a:t>
                </a:r>
                <a:endParaRPr lang="en-US" sz="1600">
                  <a:solidFill>
                    <a:sysClr val="windowText" lastClr="000000"/>
                  </a:solidFill>
                  <a:latin typeface="Segoe UI" panose="020B0502040204020203" pitchFamily="34" charset="0"/>
                  <a:cs typeface="Segoe UI" panose="020B0502040204020203" pitchFamily="34" charset="0"/>
                </a:endParaRPr>
              </a:p>
            </c:rich>
          </c:tx>
          <c:layout>
            <c:manualLayout>
              <c:xMode val="edge"/>
              <c:yMode val="edge"/>
              <c:x val="0.35896774187003133"/>
              <c:y val="0.92460438294837388"/>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41219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[HR_Project.xlsx]Pivot!PivotTable9</c:name>
    <c:fmtId val="8"/>
  </c:pivotSource>
  <c:chart>
    <c:title>
      <c:tx>
        <c:rich>
          <a:bodyPr rot="0" spcFirstLastPara="1" vertOverflow="ellipsis" vert="horz" wrap="square" anchor="ctr" anchorCtr="1"/>
          <a:lstStyle/>
          <a:p>
            <a:pPr>
              <a:defRPr sz="2400" b="1" i="0" u="none" strike="noStrike" kern="1200" spc="0" baseline="0">
                <a:solidFill>
                  <a:srgbClr val="1E3A5F"/>
                </a:solidFill>
                <a:latin typeface="Segoe UI" panose="020B0502040204020203" pitchFamily="34" charset="0"/>
                <a:ea typeface="+mn-ea"/>
                <a:cs typeface="Segoe UI" panose="020B0502040204020203" pitchFamily="34" charset="0"/>
              </a:defRPr>
            </a:pPr>
            <a:r>
              <a:rPr lang="en-US" sz="2400" b="1" i="0" u="none" strike="noStrike" baseline="0">
                <a:solidFill>
                  <a:srgbClr val="1E3A5F"/>
                </a:solidFill>
                <a:latin typeface="Segoe UI" panose="020B0502040204020203" pitchFamily="34" charset="0"/>
                <a:cs typeface="Segoe UI" panose="020B0502040204020203" pitchFamily="34" charset="0"/>
              </a:rPr>
              <a:t>Salary Distribution</a:t>
            </a:r>
            <a:endParaRPr lang="en-US" sz="2400" b="1">
              <a:solidFill>
                <a:srgbClr val="1E3A5F"/>
              </a:solidFill>
              <a:latin typeface="Segoe UI" panose="020B0502040204020203" pitchFamily="34" charset="0"/>
              <a:cs typeface="Segoe UI" panose="020B0502040204020203" pitchFamily="34" charset="0"/>
            </a:endParaRPr>
          </a:p>
        </c:rich>
      </c:tx>
      <c:layout>
        <c:manualLayout>
          <c:xMode val="edge"/>
          <c:yMode val="edge"/>
          <c:x val="7.4737574712757768E-4"/>
          <c:y val="0"/>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rgbClr val="1E3A5F"/>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gradFill flip="none" rotWithShape="1">
            <a:gsLst>
              <a:gs pos="83000">
                <a:srgbClr val="60A5FA"/>
              </a:gs>
              <a:gs pos="75000">
                <a:srgbClr val="3B82F6"/>
              </a:gs>
              <a:gs pos="50000">
                <a:srgbClr val="2563EB"/>
              </a:gs>
              <a:gs pos="0">
                <a:srgbClr val="1E3A5F"/>
              </a:gs>
              <a:gs pos="100000">
                <a:srgbClr val="BFDBFE"/>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83000">
                <a:srgbClr val="60A5FA"/>
              </a:gs>
              <a:gs pos="75000">
                <a:srgbClr val="3B82F6"/>
              </a:gs>
              <a:gs pos="50000">
                <a:srgbClr val="2563EB"/>
              </a:gs>
              <a:gs pos="0">
                <a:srgbClr val="1E3A5F"/>
              </a:gs>
              <a:gs pos="100000">
                <a:srgbClr val="BFDBFE"/>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83000">
                <a:srgbClr val="60A5FA"/>
              </a:gs>
              <a:gs pos="75000">
                <a:srgbClr val="3B82F6"/>
              </a:gs>
              <a:gs pos="50000">
                <a:srgbClr val="2563EB"/>
              </a:gs>
              <a:gs pos="0">
                <a:srgbClr val="1E3A5F"/>
              </a:gs>
              <a:gs pos="100000">
                <a:srgbClr val="BFDBFE"/>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Pivot!$K$25</c:f>
              <c:strCache>
                <c:ptCount val="1"/>
                <c:pt idx="0">
                  <c:v>Total</c:v>
                </c:pt>
              </c:strCache>
            </c:strRef>
          </c:tx>
          <c:spPr>
            <a:gradFill flip="none" rotWithShape="1">
              <a:gsLst>
                <a:gs pos="83000">
                  <a:srgbClr val="60A5FA"/>
                </a:gs>
                <a:gs pos="75000">
                  <a:srgbClr val="3B82F6"/>
                </a:gs>
                <a:gs pos="50000">
                  <a:srgbClr val="2563EB"/>
                </a:gs>
                <a:gs pos="0">
                  <a:srgbClr val="1E3A5F"/>
                </a:gs>
                <a:gs pos="100000">
                  <a:srgbClr val="BFDBFE"/>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Pivot!$J$26:$J$30</c:f>
              <c:strCache>
                <c:ptCount val="4"/>
                <c:pt idx="0">
                  <c:v>0-40K</c:v>
                </c:pt>
                <c:pt idx="1">
                  <c:v>40K-60K</c:v>
                </c:pt>
                <c:pt idx="2">
                  <c:v>60K-80K</c:v>
                </c:pt>
                <c:pt idx="3">
                  <c:v>80K+</c:v>
                </c:pt>
              </c:strCache>
            </c:strRef>
          </c:cat>
          <c:val>
            <c:numRef>
              <c:f>Pivot!$K$26:$K$30</c:f>
              <c:numCache>
                <c:formatCode>General</c:formatCode>
                <c:ptCount val="4"/>
                <c:pt idx="0">
                  <c:v>42</c:v>
                </c:pt>
                <c:pt idx="1">
                  <c:v>67</c:v>
                </c:pt>
                <c:pt idx="2">
                  <c:v>36</c:v>
                </c:pt>
                <c:pt idx="3">
                  <c:v>16</c:v>
                </c:pt>
              </c:numCache>
            </c:numRef>
          </c:val>
          <c:extLst>
            <c:ext xmlns:c16="http://schemas.microsoft.com/office/drawing/2014/chart" uri="{C3380CC4-5D6E-409C-BE32-E72D297353CC}">
              <c16:uniqueId val="{00000000-3EAE-43D2-858F-3B838A9EE63F}"/>
            </c:ext>
          </c:extLst>
        </c:ser>
        <c:dLbls>
          <c:showLegendKey val="0"/>
          <c:showVal val="0"/>
          <c:showCatName val="0"/>
          <c:showSerName val="0"/>
          <c:showPercent val="0"/>
          <c:showBubbleSize val="0"/>
        </c:dLbls>
        <c:gapWidth val="40"/>
        <c:overlap val="-27"/>
        <c:axId val="1518163712"/>
        <c:axId val="1518165632"/>
      </c:barChart>
      <c:catAx>
        <c:axId val="151816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518165632"/>
        <c:crosses val="autoZero"/>
        <c:auto val="1"/>
        <c:lblAlgn val="ctr"/>
        <c:lblOffset val="100"/>
        <c:noMultiLvlLbl val="0"/>
      </c:catAx>
      <c:valAx>
        <c:axId val="1518165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51816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[HR_Project.xlsx]Pivot!PivotTable10</c:name>
    <c:fmtId val="20"/>
  </c:pivotSource>
  <c:chart>
    <c:title>
      <c:tx>
        <c:rich>
          <a:bodyPr rot="0" spcFirstLastPara="1" vertOverflow="ellipsis" vert="horz" wrap="square" anchor="ctr" anchorCtr="1"/>
          <a:lstStyle/>
          <a:p>
            <a:pPr>
              <a:defRPr sz="2400" b="1" i="0" u="none" strike="noStrike" kern="1200" spc="0" baseline="0">
                <a:solidFill>
                  <a:srgbClr val="1E3A5F"/>
                </a:solidFill>
                <a:latin typeface="+mn-lt"/>
                <a:ea typeface="+mn-ea"/>
                <a:cs typeface="+mn-cs"/>
              </a:defRPr>
            </a:pPr>
            <a:r>
              <a:rPr lang="en-US" sz="2400" b="1" i="0" u="none" strike="noStrike" baseline="0">
                <a:solidFill>
                  <a:srgbClr val="1E3A5F"/>
                </a:solidFill>
              </a:rPr>
              <a:t>Age Distribution</a:t>
            </a:r>
            <a:endParaRPr lang="en-US" sz="2400" b="1">
              <a:solidFill>
                <a:srgbClr val="1E3A5F"/>
              </a:solidFill>
            </a:endParaRPr>
          </a:p>
        </c:rich>
      </c:tx>
      <c:layout>
        <c:manualLayout>
          <c:xMode val="edge"/>
          <c:yMode val="edge"/>
          <c:x val="1.9967680787193054E-4"/>
          <c:y val="0"/>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rgbClr val="1E3A5F"/>
              </a:solidFill>
              <a:latin typeface="+mn-lt"/>
              <a:ea typeface="+mn-ea"/>
              <a:cs typeface="+mn-cs"/>
            </a:defRPr>
          </a:pPr>
          <a:endParaRPr lang="en-US"/>
        </a:p>
      </c:txPr>
    </c:title>
    <c:autoTitleDeleted val="0"/>
    <c:pivotFmts>
      <c:pivotFmt>
        <c:idx val="0"/>
        <c:spPr>
          <a:gradFill flip="none" rotWithShape="1">
            <a:gsLst>
              <a:gs pos="75000">
                <a:srgbClr val="5EEAD4"/>
              </a:gs>
              <a:gs pos="50000">
                <a:srgbClr val="14B8A6"/>
              </a:gs>
              <a:gs pos="0">
                <a:srgbClr val="0F766E"/>
              </a:gs>
              <a:gs pos="100000">
                <a:srgbClr val="CCFBF1"/>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75000">
                <a:srgbClr val="5EEAD4"/>
              </a:gs>
              <a:gs pos="50000">
                <a:srgbClr val="14B8A6"/>
              </a:gs>
              <a:gs pos="0">
                <a:srgbClr val="0F766E"/>
              </a:gs>
              <a:gs pos="100000">
                <a:srgbClr val="CCFBF1"/>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75000">
                <a:srgbClr val="5EEAD4"/>
              </a:gs>
              <a:gs pos="50000">
                <a:srgbClr val="14B8A6"/>
              </a:gs>
              <a:gs pos="0">
                <a:srgbClr val="0F766E"/>
              </a:gs>
              <a:gs pos="100000">
                <a:srgbClr val="CCFBF1"/>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75000">
                <a:srgbClr val="5EEAD4"/>
              </a:gs>
              <a:gs pos="50000">
                <a:srgbClr val="14B8A6"/>
              </a:gs>
              <a:gs pos="0">
                <a:srgbClr val="0F766E"/>
              </a:gs>
              <a:gs pos="100000">
                <a:srgbClr val="CCFBF1"/>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75000">
                <a:srgbClr val="5EEAD4"/>
              </a:gs>
              <a:gs pos="50000">
                <a:srgbClr val="14B8A6"/>
              </a:gs>
              <a:gs pos="0">
                <a:srgbClr val="0F766E"/>
              </a:gs>
              <a:gs pos="100000">
                <a:srgbClr val="CCFBF1"/>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75000">
                <a:srgbClr val="5EEAD4"/>
              </a:gs>
              <a:gs pos="50000">
                <a:srgbClr val="14B8A6"/>
              </a:gs>
              <a:gs pos="0">
                <a:srgbClr val="0F766E"/>
              </a:gs>
              <a:gs pos="100000">
                <a:srgbClr val="CCFBF1"/>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75000">
                <a:srgbClr val="5EEAD4"/>
              </a:gs>
              <a:gs pos="50000">
                <a:srgbClr val="14B8A6"/>
              </a:gs>
              <a:gs pos="0">
                <a:srgbClr val="0F766E"/>
              </a:gs>
              <a:gs pos="100000">
                <a:srgbClr val="CCFBF1"/>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Pivot!$E$9</c:f>
              <c:strCache>
                <c:ptCount val="1"/>
                <c:pt idx="0">
                  <c:v>Total</c:v>
                </c:pt>
              </c:strCache>
            </c:strRef>
          </c:tx>
          <c:spPr>
            <a:gradFill flip="none" rotWithShape="1">
              <a:gsLst>
                <a:gs pos="75000">
                  <a:srgbClr val="5EEAD4"/>
                </a:gs>
                <a:gs pos="50000">
                  <a:srgbClr val="14B8A6"/>
                </a:gs>
                <a:gs pos="0">
                  <a:srgbClr val="0F766E"/>
                </a:gs>
                <a:gs pos="100000">
                  <a:srgbClr val="CCFBF1"/>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Pivot!$D$10:$D$14</c:f>
              <c:strCache>
                <c:ptCount val="4"/>
                <c:pt idx="0">
                  <c:v>20-30</c:v>
                </c:pt>
                <c:pt idx="1">
                  <c:v>31-40</c:v>
                </c:pt>
                <c:pt idx="2">
                  <c:v>41-50</c:v>
                </c:pt>
                <c:pt idx="3">
                  <c:v>50+</c:v>
                </c:pt>
              </c:strCache>
            </c:strRef>
          </c:cat>
          <c:val>
            <c:numRef>
              <c:f>Pivot!$E$10:$E$14</c:f>
              <c:numCache>
                <c:formatCode>General</c:formatCode>
                <c:ptCount val="4"/>
                <c:pt idx="0">
                  <c:v>27</c:v>
                </c:pt>
                <c:pt idx="1">
                  <c:v>115</c:v>
                </c:pt>
                <c:pt idx="2">
                  <c:v>5</c:v>
                </c:pt>
                <c:pt idx="3">
                  <c:v>14</c:v>
                </c:pt>
              </c:numCache>
            </c:numRef>
          </c:val>
          <c:extLst>
            <c:ext xmlns:c16="http://schemas.microsoft.com/office/drawing/2014/chart" uri="{C3380CC4-5D6E-409C-BE32-E72D297353CC}">
              <c16:uniqueId val="{00000000-AFE5-4542-A611-F02846371695}"/>
            </c:ext>
          </c:extLst>
        </c:ser>
        <c:dLbls>
          <c:showLegendKey val="0"/>
          <c:showVal val="0"/>
          <c:showCatName val="0"/>
          <c:showSerName val="0"/>
          <c:showPercent val="0"/>
          <c:showBubbleSize val="0"/>
        </c:dLbls>
        <c:gapWidth val="40"/>
        <c:overlap val="-27"/>
        <c:axId val="1518177632"/>
        <c:axId val="1518176672"/>
      </c:barChart>
      <c:catAx>
        <c:axId val="15181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518176672"/>
        <c:crosses val="autoZero"/>
        <c:auto val="1"/>
        <c:lblAlgn val="ctr"/>
        <c:lblOffset val="100"/>
        <c:noMultiLvlLbl val="0"/>
      </c:catAx>
      <c:valAx>
        <c:axId val="1518176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5181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[HR_Project.xlsx]Pivot!PivotTable11</c:name>
    <c:fmtId val="40"/>
  </c:pivotSource>
  <c:chart>
    <c:title>
      <c:tx>
        <c:rich>
          <a:bodyPr rot="0" spcFirstLastPara="1" vertOverflow="ellipsis" vert="horz" wrap="square" anchor="ctr" anchorCtr="1"/>
          <a:lstStyle/>
          <a:p>
            <a:pPr>
              <a:defRPr sz="2800" b="1" i="0" u="none" strike="noStrike" kern="1200" spc="0" baseline="0">
                <a:solidFill>
                  <a:srgbClr val="1E3A5F"/>
                </a:solidFill>
                <a:latin typeface="Segoe UI" panose="020B0502040204020203" pitchFamily="34" charset="0"/>
                <a:ea typeface="+mn-ea"/>
                <a:cs typeface="Segoe UI" panose="020B0502040204020203" pitchFamily="34" charset="0"/>
              </a:defRPr>
            </a:pPr>
            <a:r>
              <a:rPr lang="en-US" sz="2800" b="1" i="0" u="none" strike="noStrike" baseline="0">
                <a:solidFill>
                  <a:srgbClr val="1E3A5F"/>
                </a:solidFill>
                <a:latin typeface="Segoe UI" panose="020B0502040204020203" pitchFamily="34" charset="0"/>
                <a:cs typeface="Segoe UI" panose="020B0502040204020203" pitchFamily="34" charset="0"/>
              </a:rPr>
              <a:t>Hiring Trend</a:t>
            </a:r>
            <a:endParaRPr lang="en-US" sz="2800" b="1">
              <a:solidFill>
                <a:srgbClr val="1E3A5F"/>
              </a:solidFill>
              <a:latin typeface="Segoe UI" panose="020B0502040204020203" pitchFamily="34" charset="0"/>
              <a:cs typeface="Segoe UI" panose="020B0502040204020203" pitchFamily="34" charset="0"/>
            </a:endParaRPr>
          </a:p>
        </c:rich>
      </c:tx>
      <c:layout>
        <c:manualLayout>
          <c:xMode val="edge"/>
          <c:yMode val="edge"/>
          <c:x val="1.3942703754393074E-4"/>
          <c:y val="0"/>
        </c:manualLayout>
      </c:layout>
      <c:overlay val="0"/>
      <c:spPr>
        <a:noFill/>
        <a:ln>
          <a:noFill/>
        </a:ln>
        <a:effectLst/>
      </c:spPr>
      <c:txPr>
        <a:bodyPr rot="0" spcFirstLastPara="1" vertOverflow="ellipsis" vert="horz" wrap="square" anchor="ctr" anchorCtr="1"/>
        <a:lstStyle/>
        <a:p>
          <a:pPr>
            <a:defRPr sz="2800" b="1" i="0" u="none" strike="noStrike" kern="1200" spc="0" baseline="0">
              <a:solidFill>
                <a:srgbClr val="1E3A5F"/>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gradFill>
            <a:gsLst>
              <a:gs pos="0">
                <a:srgbClr val="1E3A5F"/>
              </a:gs>
              <a:gs pos="100000">
                <a:srgbClr val="2563EB"/>
              </a:gs>
            </a:gsLst>
            <a:lin ang="5400000" scaled="1"/>
          </a:gradFill>
          <a:ln>
            <a:noFill/>
          </a:ln>
          <a:effectLst/>
        </c:spPr>
        <c:marker>
          <c:symbol val="none"/>
        </c:marker>
      </c:pivotFmt>
      <c:pivotFmt>
        <c:idx val="1"/>
        <c:spPr>
          <a:gradFill>
            <a:gsLst>
              <a:gs pos="0">
                <a:srgbClr val="1E3A5F"/>
              </a:gs>
              <a:gs pos="100000">
                <a:srgbClr val="2563EB"/>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rgbClr val="2563EB"/>
            </a:solidFill>
            <a:round/>
          </a:ln>
          <a:effectLst/>
        </c:spPr>
        <c:marker>
          <c:symbol val="circle"/>
          <c:size val="5"/>
          <c:spPr>
            <a:solidFill>
              <a:srgbClr val="1E3A5F"/>
            </a:solidFill>
            <a:ln w="38100">
              <a:solidFill>
                <a:srgbClr val="1E3A5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rgbClr val="1E3A5F"/>
              </a:gs>
              <a:gs pos="100000">
                <a:srgbClr val="2563EB"/>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rgbClr val="2563EB"/>
            </a:solidFill>
            <a:round/>
          </a:ln>
          <a:effectLst/>
        </c:spPr>
        <c:marker>
          <c:symbol val="circle"/>
          <c:size val="5"/>
          <c:spPr>
            <a:solidFill>
              <a:srgbClr val="5EEAD4"/>
            </a:solidFill>
            <a:ln w="76200">
              <a:solidFill>
                <a:srgbClr val="2563E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Pivot!$E$24</c:f>
              <c:strCache>
                <c:ptCount val="1"/>
                <c:pt idx="0">
                  <c:v>Num of empp</c:v>
                </c:pt>
              </c:strCache>
            </c:strRef>
          </c:tx>
          <c:spPr>
            <a:gradFill>
              <a:gsLst>
                <a:gs pos="0">
                  <a:srgbClr val="1E3A5F"/>
                </a:gs>
                <a:gs pos="100000">
                  <a:srgbClr val="2563EB"/>
                </a:gs>
              </a:gsLst>
              <a:lin ang="5400000" scaled="1"/>
            </a:gradFill>
            <a:ln>
              <a:noFill/>
            </a:ln>
            <a:effectLst/>
          </c:spPr>
          <c:cat>
            <c:strRef>
              <c:f>Pivot!$D$25:$D$37</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Pivot!$E$25:$E$37</c:f>
              <c:numCache>
                <c:formatCode>General</c:formatCode>
                <c:ptCount val="12"/>
                <c:pt idx="0">
                  <c:v>9</c:v>
                </c:pt>
                <c:pt idx="1">
                  <c:v>14</c:v>
                </c:pt>
                <c:pt idx="2">
                  <c:v>12</c:v>
                </c:pt>
                <c:pt idx="3">
                  <c:v>19</c:v>
                </c:pt>
                <c:pt idx="4">
                  <c:v>11</c:v>
                </c:pt>
                <c:pt idx="5">
                  <c:v>16</c:v>
                </c:pt>
                <c:pt idx="6">
                  <c:v>15</c:v>
                </c:pt>
                <c:pt idx="7">
                  <c:v>15</c:v>
                </c:pt>
                <c:pt idx="8">
                  <c:v>13</c:v>
                </c:pt>
                <c:pt idx="9">
                  <c:v>13</c:v>
                </c:pt>
                <c:pt idx="10">
                  <c:v>13</c:v>
                </c:pt>
                <c:pt idx="11">
                  <c:v>11</c:v>
                </c:pt>
              </c:numCache>
            </c:numRef>
          </c:val>
          <c:extLst>
            <c:ext xmlns:c16="http://schemas.microsoft.com/office/drawing/2014/chart" uri="{C3380CC4-5D6E-409C-BE32-E72D297353CC}">
              <c16:uniqueId val="{00000000-CC07-445F-8CE8-0DF0C0E2E934}"/>
            </c:ext>
          </c:extLst>
        </c:ser>
        <c:dLbls>
          <c:showLegendKey val="0"/>
          <c:showVal val="0"/>
          <c:showCatName val="0"/>
          <c:showSerName val="0"/>
          <c:showPercent val="0"/>
          <c:showBubbleSize val="0"/>
        </c:dLbls>
        <c:axId val="1670460319"/>
        <c:axId val="1670462239"/>
      </c:areaChart>
      <c:lineChart>
        <c:grouping val="standard"/>
        <c:varyColors val="0"/>
        <c:ser>
          <c:idx val="1"/>
          <c:order val="1"/>
          <c:tx>
            <c:strRef>
              <c:f>Pivot!$F$24</c:f>
              <c:strCache>
                <c:ptCount val="1"/>
                <c:pt idx="0">
                  <c:v>Num of Emp</c:v>
                </c:pt>
              </c:strCache>
            </c:strRef>
          </c:tx>
          <c:spPr>
            <a:ln w="31750" cap="rnd">
              <a:solidFill>
                <a:srgbClr val="2563EB"/>
              </a:solidFill>
              <a:round/>
            </a:ln>
            <a:effectLst/>
          </c:spPr>
          <c:marker>
            <c:symbol val="circle"/>
            <c:size val="5"/>
            <c:spPr>
              <a:solidFill>
                <a:srgbClr val="5EEAD4"/>
              </a:solidFill>
              <a:ln w="76200">
                <a:solidFill>
                  <a:srgbClr val="2563EB"/>
                </a:solidFill>
              </a:ln>
              <a:effectLst/>
            </c:spPr>
          </c:marker>
          <c:cat>
            <c:strRef>
              <c:f>Pivot!$D$25:$D$37</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Pivot!$F$25:$F$37</c:f>
              <c:numCache>
                <c:formatCode>General</c:formatCode>
                <c:ptCount val="12"/>
                <c:pt idx="0">
                  <c:v>9</c:v>
                </c:pt>
                <c:pt idx="1">
                  <c:v>14</c:v>
                </c:pt>
                <c:pt idx="2">
                  <c:v>12</c:v>
                </c:pt>
                <c:pt idx="3">
                  <c:v>19</c:v>
                </c:pt>
                <c:pt idx="4">
                  <c:v>11</c:v>
                </c:pt>
                <c:pt idx="5">
                  <c:v>16</c:v>
                </c:pt>
                <c:pt idx="6">
                  <c:v>15</c:v>
                </c:pt>
                <c:pt idx="7">
                  <c:v>15</c:v>
                </c:pt>
                <c:pt idx="8">
                  <c:v>13</c:v>
                </c:pt>
                <c:pt idx="9">
                  <c:v>13</c:v>
                </c:pt>
                <c:pt idx="10">
                  <c:v>13</c:v>
                </c:pt>
                <c:pt idx="11">
                  <c:v>11</c:v>
                </c:pt>
              </c:numCache>
            </c:numRef>
          </c:val>
          <c:smooth val="0"/>
          <c:extLst>
            <c:ext xmlns:c16="http://schemas.microsoft.com/office/drawing/2014/chart" uri="{C3380CC4-5D6E-409C-BE32-E72D297353CC}">
              <c16:uniqueId val="{00000001-CC07-445F-8CE8-0DF0C0E2E934}"/>
            </c:ext>
          </c:extLst>
        </c:ser>
        <c:dLbls>
          <c:showLegendKey val="0"/>
          <c:showVal val="0"/>
          <c:showCatName val="0"/>
          <c:showSerName val="0"/>
          <c:showPercent val="0"/>
          <c:showBubbleSize val="0"/>
        </c:dLbls>
        <c:marker val="1"/>
        <c:smooth val="0"/>
        <c:axId val="1670460319"/>
        <c:axId val="1670462239"/>
      </c:lineChart>
      <c:catAx>
        <c:axId val="167046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670462239"/>
        <c:crosses val="autoZero"/>
        <c:auto val="1"/>
        <c:lblAlgn val="ctr"/>
        <c:lblOffset val="100"/>
        <c:noMultiLvlLbl val="0"/>
      </c:catAx>
      <c:valAx>
        <c:axId val="1670462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67046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9.png"/><Relationship Id="rId3" Type="http://schemas.openxmlformats.org/officeDocument/2006/relationships/chart" Target="../charts/chart1.xml"/><Relationship Id="rId7" Type="http://schemas.openxmlformats.org/officeDocument/2006/relationships/image" Target="../media/image5.png"/><Relationship Id="rId12" Type="http://schemas.openxmlformats.org/officeDocument/2006/relationships/chart" Target="../charts/chart4.xml"/><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image" Target="../media/image8.svg"/><Relationship Id="rId5" Type="http://schemas.openxmlformats.org/officeDocument/2006/relationships/image" Target="../media/image3.png"/><Relationship Id="rId15" Type="http://schemas.openxmlformats.org/officeDocument/2006/relationships/chart" Target="../charts/chart5.xml"/><Relationship Id="rId10" Type="http://schemas.openxmlformats.org/officeDocument/2006/relationships/image" Target="../media/image7.png"/><Relationship Id="rId4" Type="http://schemas.openxmlformats.org/officeDocument/2006/relationships/chart" Target="../charts/chart2.xml"/><Relationship Id="rId9" Type="http://schemas.openxmlformats.org/officeDocument/2006/relationships/chart" Target="../charts/chart3.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40</xdr:col>
      <xdr:colOff>194553</xdr:colOff>
      <xdr:row>7</xdr:row>
      <xdr:rowOff>20320</xdr:rowOff>
    </xdr:to>
    <xdr:sp macro="" textlink="">
      <xdr:nvSpPr>
        <xdr:cNvPr id="2" name="Rectangle 1">
          <a:extLst>
            <a:ext uri="{FF2B5EF4-FFF2-40B4-BE49-F238E27FC236}">
              <a16:creationId xmlns:a16="http://schemas.microsoft.com/office/drawing/2014/main" id="{0DF500EB-D2FC-4B0D-BF36-8CE3F1A199BF}"/>
            </a:ext>
          </a:extLst>
        </xdr:cNvPr>
        <xdr:cNvSpPr/>
      </xdr:nvSpPr>
      <xdr:spPr>
        <a:xfrm>
          <a:off x="0" y="0"/>
          <a:ext cx="24837957" cy="1268703"/>
        </a:xfrm>
        <a:prstGeom prst="rect">
          <a:avLst/>
        </a:prstGeom>
        <a:solidFill>
          <a:srgbClr val="1E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200502</xdr:colOff>
      <xdr:row>0</xdr:row>
      <xdr:rowOff>159051</xdr:rowOff>
    </xdr:from>
    <xdr:to>
      <xdr:col>12</xdr:col>
      <xdr:colOff>505301</xdr:colOff>
      <xdr:row>5</xdr:row>
      <xdr:rowOff>159051</xdr:rowOff>
    </xdr:to>
    <xdr:pic>
      <xdr:nvPicPr>
        <xdr:cNvPr id="3" name="Graphic 2" descr="Users with solid fill">
          <a:extLst>
            <a:ext uri="{FF2B5EF4-FFF2-40B4-BE49-F238E27FC236}">
              <a16:creationId xmlns:a16="http://schemas.microsoft.com/office/drawing/2014/main" id="{A48BF58B-C8B0-4FC7-B8FF-3990384B7FB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60179" y="159051"/>
          <a:ext cx="919316" cy="921774"/>
        </a:xfrm>
        <a:prstGeom prst="rect">
          <a:avLst/>
        </a:prstGeom>
        <a:effectLst>
          <a:outerShdw blurRad="50800" dist="38100" dir="2700000" algn="tl" rotWithShape="0">
            <a:prstClr val="black">
              <a:alpha val="40000"/>
            </a:prstClr>
          </a:outerShdw>
        </a:effectLst>
      </xdr:spPr>
    </xdr:pic>
    <xdr:clientData/>
  </xdr:twoCellAnchor>
  <xdr:twoCellAnchor>
    <xdr:from>
      <xdr:col>10</xdr:col>
      <xdr:colOff>242837</xdr:colOff>
      <xdr:row>1</xdr:row>
      <xdr:rowOff>12236</xdr:rowOff>
    </xdr:from>
    <xdr:to>
      <xdr:col>25</xdr:col>
      <xdr:colOff>412216</xdr:colOff>
      <xdr:row>4</xdr:row>
      <xdr:rowOff>120391</xdr:rowOff>
    </xdr:to>
    <xdr:sp macro="" textlink="">
      <xdr:nvSpPr>
        <xdr:cNvPr id="4" name="TextBox 3">
          <a:extLst>
            <a:ext uri="{FF2B5EF4-FFF2-40B4-BE49-F238E27FC236}">
              <a16:creationId xmlns:a16="http://schemas.microsoft.com/office/drawing/2014/main" id="{12F3D2A1-F985-4043-BAC2-884333C0A1A5}"/>
            </a:ext>
          </a:extLst>
        </xdr:cNvPr>
        <xdr:cNvSpPr txBox="1"/>
      </xdr:nvSpPr>
      <xdr:spPr>
        <a:xfrm>
          <a:off x="6392311" y="199394"/>
          <a:ext cx="9393589" cy="669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bg1"/>
              </a:solidFill>
              <a:latin typeface="Segoe UI" panose="020B0502040204020203" pitchFamily="34" charset="0"/>
              <a:cs typeface="Segoe UI" panose="020B0502040204020203" pitchFamily="34" charset="0"/>
            </a:rPr>
            <a:t>HR ANALYTICS DASHBOARD</a:t>
          </a:r>
        </a:p>
      </xdr:txBody>
    </xdr:sp>
    <xdr:clientData/>
  </xdr:twoCellAnchor>
  <xdr:twoCellAnchor>
    <xdr:from>
      <xdr:col>0</xdr:col>
      <xdr:colOff>0</xdr:colOff>
      <xdr:row>6</xdr:row>
      <xdr:rowOff>162560</xdr:rowOff>
    </xdr:from>
    <xdr:to>
      <xdr:col>3</xdr:col>
      <xdr:colOff>577646</xdr:colOff>
      <xdr:row>65</xdr:row>
      <xdr:rowOff>149087</xdr:rowOff>
    </xdr:to>
    <xdr:sp macro="" textlink="">
      <xdr:nvSpPr>
        <xdr:cNvPr id="10" name="Rectangle 9">
          <a:extLst>
            <a:ext uri="{FF2B5EF4-FFF2-40B4-BE49-F238E27FC236}">
              <a16:creationId xmlns:a16="http://schemas.microsoft.com/office/drawing/2014/main" id="{5D68781E-E893-49BE-D784-DB10BD0B8425}"/>
            </a:ext>
          </a:extLst>
        </xdr:cNvPr>
        <xdr:cNvSpPr/>
      </xdr:nvSpPr>
      <xdr:spPr>
        <a:xfrm>
          <a:off x="0" y="1255864"/>
          <a:ext cx="2416385" cy="10737353"/>
        </a:xfrm>
        <a:prstGeom prst="rect">
          <a:avLst/>
        </a:prstGeom>
        <a:solidFill>
          <a:srgbClr val="1E3A5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28712</xdr:colOff>
      <xdr:row>8</xdr:row>
      <xdr:rowOff>48121</xdr:rowOff>
    </xdr:from>
    <xdr:to>
      <xdr:col>3</xdr:col>
      <xdr:colOff>425444</xdr:colOff>
      <xdr:row>25</xdr:row>
      <xdr:rowOff>70555</xdr:rowOff>
    </xdr:to>
    <mc:AlternateContent xmlns:mc="http://schemas.openxmlformats.org/markup-compatibility/2006" xmlns:a14="http://schemas.microsoft.com/office/drawing/2010/main">
      <mc:Choice Requires="a14">
        <xdr:graphicFrame macro="">
          <xdr:nvGraphicFramePr>
            <xdr:cNvPr id="9" name="Job Title 1">
              <a:extLst>
                <a:ext uri="{FF2B5EF4-FFF2-40B4-BE49-F238E27FC236}">
                  <a16:creationId xmlns:a16="http://schemas.microsoft.com/office/drawing/2014/main" id="{51599736-F7AB-4AE1-88A6-9628FD127F7D}"/>
                </a:ext>
              </a:extLst>
            </xdr:cNvPr>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mlns="">
        <xdr:sp macro="" textlink="">
          <xdr:nvSpPr>
            <xdr:cNvPr id="0" name=""/>
            <xdr:cNvSpPr>
              <a:spLocks noTextEdit="1"/>
            </xdr:cNvSpPr>
          </xdr:nvSpPr>
          <xdr:spPr>
            <a:xfrm>
              <a:off x="28712" y="1538254"/>
              <a:ext cx="2225532" cy="3188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127520</xdr:rowOff>
    </xdr:from>
    <xdr:to>
      <xdr:col>3</xdr:col>
      <xdr:colOff>353170</xdr:colOff>
      <xdr:row>6</xdr:row>
      <xdr:rowOff>163741</xdr:rowOff>
    </xdr:to>
    <xdr:sp macro="" textlink="">
      <xdr:nvSpPr>
        <xdr:cNvPr id="11" name="TextBox 10">
          <a:extLst>
            <a:ext uri="{FF2B5EF4-FFF2-40B4-BE49-F238E27FC236}">
              <a16:creationId xmlns:a16="http://schemas.microsoft.com/office/drawing/2014/main" id="{C6F8EEFB-6053-1C02-6573-F1C30EE6AC6E}"/>
            </a:ext>
          </a:extLst>
        </xdr:cNvPr>
        <xdr:cNvSpPr txBox="1"/>
      </xdr:nvSpPr>
      <xdr:spPr>
        <a:xfrm>
          <a:off x="0" y="303366"/>
          <a:ext cx="2199555" cy="915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b="1">
              <a:solidFill>
                <a:schemeClr val="bg1"/>
              </a:solidFill>
              <a:latin typeface="Segoe UI" panose="020B0502040204020203" pitchFamily="34" charset="0"/>
              <a:cs typeface="Segoe UI" panose="020B0502040204020203" pitchFamily="34" charset="0"/>
            </a:rPr>
            <a:t>Filters</a:t>
          </a:r>
        </a:p>
      </xdr:txBody>
    </xdr:sp>
    <xdr:clientData/>
  </xdr:twoCellAnchor>
  <xdr:twoCellAnchor editAs="oneCell">
    <xdr:from>
      <xdr:col>0</xdr:col>
      <xdr:colOff>28712</xdr:colOff>
      <xdr:row>28</xdr:row>
      <xdr:rowOff>64382</xdr:rowOff>
    </xdr:from>
    <xdr:to>
      <xdr:col>3</xdr:col>
      <xdr:colOff>425444</xdr:colOff>
      <xdr:row>33</xdr:row>
      <xdr:rowOff>112889</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2272DE93-04D9-47C4-9CE3-73C561471F6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8712" y="5279849"/>
              <a:ext cx="2225532" cy="979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30432</xdr:colOff>
      <xdr:row>37</xdr:row>
      <xdr:rowOff>10011</xdr:rowOff>
    </xdr:from>
    <xdr:to>
      <xdr:col>3</xdr:col>
      <xdr:colOff>423723</xdr:colOff>
      <xdr:row>45</xdr:row>
      <xdr:rowOff>1305</xdr:rowOff>
    </xdr:to>
    <mc:AlternateContent xmlns:mc="http://schemas.openxmlformats.org/markup-compatibility/2006" xmlns:a14="http://schemas.microsoft.com/office/drawing/2010/main">
      <mc:Choice Requires="a14">
        <xdr:graphicFrame macro="">
          <xdr:nvGraphicFramePr>
            <xdr:cNvPr id="13" name="Education Qualification">
              <a:extLst>
                <a:ext uri="{FF2B5EF4-FFF2-40B4-BE49-F238E27FC236}">
                  <a16:creationId xmlns:a16="http://schemas.microsoft.com/office/drawing/2014/main" id="{79E3413D-A9A5-4C7D-AA98-BC64BF16CB51}"/>
                </a:ext>
              </a:extLst>
            </xdr:cNvPr>
            <xdr:cNvGraphicFramePr/>
          </xdr:nvGraphicFramePr>
          <xdr:xfrm>
            <a:off x="0" y="0"/>
            <a:ext cx="0" cy="0"/>
          </xdr:xfrm>
          <a:graphic>
            <a:graphicData uri="http://schemas.microsoft.com/office/drawing/2010/slicer">
              <sle:slicer xmlns:sle="http://schemas.microsoft.com/office/drawing/2010/slicer" name="Education Qualification"/>
            </a:graphicData>
          </a:graphic>
        </xdr:graphicFrame>
      </mc:Choice>
      <mc:Fallback xmlns="">
        <xdr:sp macro="" textlink="">
          <xdr:nvSpPr>
            <xdr:cNvPr id="0" name=""/>
            <xdr:cNvSpPr>
              <a:spLocks noTextEdit="1"/>
            </xdr:cNvSpPr>
          </xdr:nvSpPr>
          <xdr:spPr>
            <a:xfrm>
              <a:off x="30432" y="6901878"/>
              <a:ext cx="2222091" cy="14814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30433</xdr:colOff>
      <xdr:row>48</xdr:row>
      <xdr:rowOff>148016</xdr:rowOff>
    </xdr:from>
    <xdr:to>
      <xdr:col>3</xdr:col>
      <xdr:colOff>423723</xdr:colOff>
      <xdr:row>61</xdr:row>
      <xdr:rowOff>56445</xdr:rowOff>
    </xdr:to>
    <mc:AlternateContent xmlns:mc="http://schemas.openxmlformats.org/markup-compatibility/2006" xmlns:a14="http://schemas.microsoft.com/office/drawing/2010/main">
      <mc:Choice Requires="a14">
        <xdr:graphicFrame macro="">
          <xdr:nvGraphicFramePr>
            <xdr:cNvPr id="14" name="Join Year">
              <a:extLst>
                <a:ext uri="{FF2B5EF4-FFF2-40B4-BE49-F238E27FC236}">
                  <a16:creationId xmlns:a16="http://schemas.microsoft.com/office/drawing/2014/main" id="{8E5E64D2-AB13-4D16-9B53-697EE98A5385}"/>
                </a:ext>
              </a:extLst>
            </xdr:cNvPr>
            <xdr:cNvGraphicFramePr/>
          </xdr:nvGraphicFramePr>
          <xdr:xfrm>
            <a:off x="0" y="0"/>
            <a:ext cx="0" cy="0"/>
          </xdr:xfrm>
          <a:graphic>
            <a:graphicData uri="http://schemas.microsoft.com/office/drawing/2010/slicer">
              <sle:slicer xmlns:sle="http://schemas.microsoft.com/office/drawing/2010/slicer" name="Join Year"/>
            </a:graphicData>
          </a:graphic>
        </xdr:graphicFrame>
      </mc:Choice>
      <mc:Fallback xmlns="">
        <xdr:sp macro="" textlink="">
          <xdr:nvSpPr>
            <xdr:cNvPr id="0" name=""/>
            <xdr:cNvSpPr>
              <a:spLocks noTextEdit="1"/>
            </xdr:cNvSpPr>
          </xdr:nvSpPr>
          <xdr:spPr>
            <a:xfrm>
              <a:off x="30433" y="9088816"/>
              <a:ext cx="2222090" cy="2329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564445</xdr:colOff>
      <xdr:row>7</xdr:row>
      <xdr:rowOff>155223</xdr:rowOff>
    </xdr:from>
    <xdr:to>
      <xdr:col>10</xdr:col>
      <xdr:colOff>187890</xdr:colOff>
      <xdr:row>17</xdr:row>
      <xdr:rowOff>52193</xdr:rowOff>
    </xdr:to>
    <xdr:sp macro="" textlink="">
      <xdr:nvSpPr>
        <xdr:cNvPr id="15" name="Rectangle: Rounded Corners 14">
          <a:extLst>
            <a:ext uri="{FF2B5EF4-FFF2-40B4-BE49-F238E27FC236}">
              <a16:creationId xmlns:a16="http://schemas.microsoft.com/office/drawing/2014/main" id="{5A0442DB-A461-61EF-3043-73E5D4D55094}"/>
            </a:ext>
          </a:extLst>
        </xdr:cNvPr>
        <xdr:cNvSpPr/>
      </xdr:nvSpPr>
      <xdr:spPr>
        <a:xfrm>
          <a:off x="2986144" y="1470456"/>
          <a:ext cx="3255993" cy="1775874"/>
        </a:xfrm>
        <a:prstGeom prst="roundRect">
          <a:avLst/>
        </a:prstGeom>
        <a:solidFill>
          <a:srgbClr val="FFFFFF"/>
        </a:solidFill>
        <a:ln>
          <a:solidFill>
            <a:srgbClr val="E5E7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glow rad="63500">
                <a:schemeClr val="accent1">
                  <a:satMod val="175000"/>
                  <a:alpha val="40000"/>
                </a:schemeClr>
              </a:glow>
              <a:outerShdw blurRad="50800" dist="38100" dir="2700000" algn="tl" rotWithShape="0">
                <a:prstClr val="black">
                  <a:alpha val="40000"/>
                </a:prstClr>
              </a:outerShdw>
            </a:effectLst>
          </a:endParaRPr>
        </a:p>
      </xdr:txBody>
    </xdr:sp>
    <xdr:clientData/>
  </xdr:twoCellAnchor>
  <xdr:twoCellAnchor>
    <xdr:from>
      <xdr:col>5</xdr:col>
      <xdr:colOff>309865</xdr:colOff>
      <xdr:row>8</xdr:row>
      <xdr:rowOff>73783</xdr:rowOff>
    </xdr:from>
    <xdr:to>
      <xdr:col>9</xdr:col>
      <xdr:colOff>479198</xdr:colOff>
      <xdr:row>10</xdr:row>
      <xdr:rowOff>31451</xdr:rowOff>
    </xdr:to>
    <xdr:sp macro="" textlink="">
      <xdr:nvSpPr>
        <xdr:cNvPr id="16" name="TextBox 15">
          <a:extLst>
            <a:ext uri="{FF2B5EF4-FFF2-40B4-BE49-F238E27FC236}">
              <a16:creationId xmlns:a16="http://schemas.microsoft.com/office/drawing/2014/main" id="{DFF4AD72-4AA5-EC97-9482-D72B34C1BA4D}"/>
            </a:ext>
          </a:extLst>
        </xdr:cNvPr>
        <xdr:cNvSpPr txBox="1"/>
      </xdr:nvSpPr>
      <xdr:spPr>
        <a:xfrm>
          <a:off x="3357865" y="1514656"/>
          <a:ext cx="2607733" cy="317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1E3A5F"/>
              </a:solidFill>
              <a:latin typeface="Segoe UI" panose="020B0502040204020203" pitchFamily="34" charset="0"/>
              <a:cs typeface="Segoe UI" panose="020B0502040204020203" pitchFamily="34" charset="0"/>
            </a:rPr>
            <a:t>TOTAL</a:t>
          </a:r>
          <a:r>
            <a:rPr lang="en-US" sz="1600" b="1" baseline="0">
              <a:solidFill>
                <a:srgbClr val="1E3A5F"/>
              </a:solidFill>
              <a:latin typeface="Segoe UI" panose="020B0502040204020203" pitchFamily="34" charset="0"/>
              <a:cs typeface="Segoe UI" panose="020B0502040204020203" pitchFamily="34" charset="0"/>
            </a:rPr>
            <a:t> EMPLOYEES</a:t>
          </a:r>
          <a:endParaRPr lang="en-US" sz="1600" b="1">
            <a:solidFill>
              <a:srgbClr val="1E3A5F"/>
            </a:solidFill>
            <a:latin typeface="Segoe UI" panose="020B0502040204020203" pitchFamily="34" charset="0"/>
            <a:cs typeface="Segoe UI" panose="020B0502040204020203" pitchFamily="34" charset="0"/>
          </a:endParaRPr>
        </a:p>
      </xdr:txBody>
    </xdr:sp>
    <xdr:clientData/>
  </xdr:twoCellAnchor>
  <xdr:twoCellAnchor>
    <xdr:from>
      <xdr:col>5</xdr:col>
      <xdr:colOff>551106</xdr:colOff>
      <xdr:row>10</xdr:row>
      <xdr:rowOff>28222</xdr:rowOff>
    </xdr:from>
    <xdr:to>
      <xdr:col>9</xdr:col>
      <xdr:colOff>199682</xdr:colOff>
      <xdr:row>14</xdr:row>
      <xdr:rowOff>20877</xdr:rowOff>
    </xdr:to>
    <xdr:sp macro="" textlink="Pivot!$D$4">
      <xdr:nvSpPr>
        <xdr:cNvPr id="17" name="TextBox 16">
          <a:extLst>
            <a:ext uri="{FF2B5EF4-FFF2-40B4-BE49-F238E27FC236}">
              <a16:creationId xmlns:a16="http://schemas.microsoft.com/office/drawing/2014/main" id="{9121A751-66C1-C33D-108B-F40586070E78}"/>
            </a:ext>
          </a:extLst>
        </xdr:cNvPr>
        <xdr:cNvSpPr txBox="1"/>
      </xdr:nvSpPr>
      <xdr:spPr>
        <a:xfrm>
          <a:off x="3563664" y="1800315"/>
          <a:ext cx="2058623" cy="701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53CEE8-B78C-4307-B561-5F0F076C44DB}" type="TxLink">
            <a:rPr lang="en-US" sz="3000" b="1" i="0" u="none" strike="noStrike">
              <a:solidFill>
                <a:srgbClr val="1E3A5F"/>
              </a:solidFill>
              <a:effectLst>
                <a:outerShdw blurRad="50800" dist="38100" dir="5400000" algn="t" rotWithShape="0">
                  <a:prstClr val="black">
                    <a:alpha val="40000"/>
                  </a:prstClr>
                </a:outerShdw>
              </a:effectLst>
              <a:latin typeface="Segoe UI" panose="020B0502040204020203" pitchFamily="34" charset="0"/>
              <a:ea typeface="Calibri"/>
              <a:cs typeface="Segoe UI" panose="020B0502040204020203" pitchFamily="34" charset="0"/>
            </a:rPr>
            <a:pPr algn="ctr"/>
            <a:t>161</a:t>
          </a:fld>
          <a:endParaRPr lang="en-US" sz="3000" b="1">
            <a:solidFill>
              <a:srgbClr val="1E3A5F"/>
            </a:solidFill>
            <a:effectLst>
              <a:outerShdw blurRad="50800" dist="38100" dir="5400000" algn="t" rotWithShape="0">
                <a:prstClr val="black">
                  <a:alpha val="40000"/>
                </a:prstClr>
              </a:outerShdw>
            </a:effectLst>
            <a:latin typeface="Segoe UI" panose="020B0502040204020203" pitchFamily="34" charset="0"/>
            <a:cs typeface="Segoe UI" panose="020B0502040204020203" pitchFamily="34" charset="0"/>
          </a:endParaRPr>
        </a:p>
      </xdr:txBody>
    </xdr:sp>
    <xdr:clientData/>
  </xdr:twoCellAnchor>
  <xdr:twoCellAnchor>
    <xdr:from>
      <xdr:col>5</xdr:col>
      <xdr:colOff>589380</xdr:colOff>
      <xdr:row>13</xdr:row>
      <xdr:rowOff>160421</xdr:rowOff>
    </xdr:from>
    <xdr:to>
      <xdr:col>9</xdr:col>
      <xdr:colOff>161407</xdr:colOff>
      <xdr:row>16</xdr:row>
      <xdr:rowOff>73067</xdr:rowOff>
    </xdr:to>
    <xdr:sp macro="" textlink="">
      <xdr:nvSpPr>
        <xdr:cNvPr id="18" name="TextBox 17">
          <a:extLst>
            <a:ext uri="{FF2B5EF4-FFF2-40B4-BE49-F238E27FC236}">
              <a16:creationId xmlns:a16="http://schemas.microsoft.com/office/drawing/2014/main" id="{3CCF8D50-198A-5840-8021-479007AAE20E}"/>
            </a:ext>
          </a:extLst>
        </xdr:cNvPr>
        <xdr:cNvSpPr txBox="1"/>
      </xdr:nvSpPr>
      <xdr:spPr>
        <a:xfrm>
          <a:off x="3664117" y="2593474"/>
          <a:ext cx="2031816" cy="4741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effectLst>
                <a:outerShdw blurRad="50800" dist="38100" dir="2700000" algn="tl" rotWithShape="0">
                  <a:prstClr val="black">
                    <a:alpha val="40000"/>
                  </a:prstClr>
                </a:outerShdw>
              </a:effectLst>
            </a:rPr>
            <a:t>Employees</a:t>
          </a:r>
        </a:p>
      </xdr:txBody>
    </xdr:sp>
    <xdr:clientData/>
  </xdr:twoCellAnchor>
  <xdr:twoCellAnchor>
    <xdr:from>
      <xdr:col>10</xdr:col>
      <xdr:colOff>575830</xdr:colOff>
      <xdr:row>7</xdr:row>
      <xdr:rowOff>123699</xdr:rowOff>
    </xdr:from>
    <xdr:to>
      <xdr:col>16</xdr:col>
      <xdr:colOff>199707</xdr:colOff>
      <xdr:row>17</xdr:row>
      <xdr:rowOff>20669</xdr:rowOff>
    </xdr:to>
    <xdr:sp macro="" textlink="">
      <xdr:nvSpPr>
        <xdr:cNvPr id="19" name="Rectangle: Rounded Corners 18">
          <a:extLst>
            <a:ext uri="{FF2B5EF4-FFF2-40B4-BE49-F238E27FC236}">
              <a16:creationId xmlns:a16="http://schemas.microsoft.com/office/drawing/2014/main" id="{363F390C-62E2-B302-449F-1355D4EB1646}"/>
            </a:ext>
          </a:extLst>
        </xdr:cNvPr>
        <xdr:cNvSpPr/>
      </xdr:nvSpPr>
      <xdr:spPr>
        <a:xfrm>
          <a:off x="6720991" y="1414183"/>
          <a:ext cx="3310974" cy="1740518"/>
        </a:xfrm>
        <a:prstGeom prst="roundRect">
          <a:avLst/>
        </a:prstGeom>
        <a:solidFill>
          <a:srgbClr val="FFFFFF"/>
        </a:solidFill>
        <a:ln>
          <a:solidFill>
            <a:srgbClr val="E5E7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120613</xdr:colOff>
      <xdr:row>7</xdr:row>
      <xdr:rowOff>165917</xdr:rowOff>
    </xdr:from>
    <xdr:to>
      <xdr:col>22</xdr:col>
      <xdr:colOff>359006</xdr:colOff>
      <xdr:row>17</xdr:row>
      <xdr:rowOff>62887</xdr:rowOff>
    </xdr:to>
    <xdr:sp macro="" textlink="">
      <xdr:nvSpPr>
        <xdr:cNvPr id="20" name="Rectangle: Rounded Corners 19">
          <a:extLst>
            <a:ext uri="{FF2B5EF4-FFF2-40B4-BE49-F238E27FC236}">
              <a16:creationId xmlns:a16="http://schemas.microsoft.com/office/drawing/2014/main" id="{6F3F5CB8-4C1B-6776-3767-A64E4F85744B}"/>
            </a:ext>
          </a:extLst>
        </xdr:cNvPr>
        <xdr:cNvSpPr/>
      </xdr:nvSpPr>
      <xdr:spPr>
        <a:xfrm>
          <a:off x="10567387" y="1456401"/>
          <a:ext cx="3310974" cy="1740518"/>
        </a:xfrm>
        <a:prstGeom prst="roundRect">
          <a:avLst/>
        </a:prstGeom>
        <a:solidFill>
          <a:srgbClr val="FFFFFF"/>
        </a:solidFill>
        <a:ln>
          <a:solidFill>
            <a:srgbClr val="E5E7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205882</xdr:colOff>
      <xdr:row>7</xdr:row>
      <xdr:rowOff>171264</xdr:rowOff>
    </xdr:from>
    <xdr:to>
      <xdr:col>28</xdr:col>
      <xdr:colOff>444275</xdr:colOff>
      <xdr:row>17</xdr:row>
      <xdr:rowOff>68234</xdr:rowOff>
    </xdr:to>
    <xdr:sp macro="" textlink="">
      <xdr:nvSpPr>
        <xdr:cNvPr id="21" name="Rectangle: Rounded Corners 20">
          <a:extLst>
            <a:ext uri="{FF2B5EF4-FFF2-40B4-BE49-F238E27FC236}">
              <a16:creationId xmlns:a16="http://schemas.microsoft.com/office/drawing/2014/main" id="{ED0E1C95-67B7-5B02-A3E2-9227E2A3ADE6}"/>
            </a:ext>
          </a:extLst>
        </xdr:cNvPr>
        <xdr:cNvSpPr/>
      </xdr:nvSpPr>
      <xdr:spPr>
        <a:xfrm>
          <a:off x="14339753" y="1461748"/>
          <a:ext cx="3310974" cy="1740518"/>
        </a:xfrm>
        <a:prstGeom prst="roundRect">
          <a:avLst/>
        </a:prstGeom>
        <a:solidFill>
          <a:srgbClr val="FFFFFF"/>
        </a:solidFill>
        <a:ln>
          <a:solidFill>
            <a:srgbClr val="E5E7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191481</xdr:colOff>
      <xdr:row>7</xdr:row>
      <xdr:rowOff>176611</xdr:rowOff>
    </xdr:from>
    <xdr:to>
      <xdr:col>34</xdr:col>
      <xdr:colOff>429874</xdr:colOff>
      <xdr:row>17</xdr:row>
      <xdr:rowOff>73581</xdr:rowOff>
    </xdr:to>
    <xdr:sp macro="" textlink="">
      <xdr:nvSpPr>
        <xdr:cNvPr id="22" name="Rectangle: Rounded Corners 21">
          <a:extLst>
            <a:ext uri="{FF2B5EF4-FFF2-40B4-BE49-F238E27FC236}">
              <a16:creationId xmlns:a16="http://schemas.microsoft.com/office/drawing/2014/main" id="{B905A8B4-A9D5-30AF-4FCB-2D0CA663418A}"/>
            </a:ext>
          </a:extLst>
        </xdr:cNvPr>
        <xdr:cNvSpPr/>
      </xdr:nvSpPr>
      <xdr:spPr>
        <a:xfrm>
          <a:off x="17869881" y="1437375"/>
          <a:ext cx="3286393" cy="1698061"/>
        </a:xfrm>
        <a:prstGeom prst="roundRect">
          <a:avLst/>
        </a:prstGeom>
        <a:solidFill>
          <a:srgbClr val="FFFFFF"/>
        </a:solidFill>
        <a:ln>
          <a:solidFill>
            <a:srgbClr val="E5E7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374385</xdr:colOff>
      <xdr:row>8</xdr:row>
      <xdr:rowOff>73783</xdr:rowOff>
    </xdr:from>
    <xdr:to>
      <xdr:col>15</xdr:col>
      <xdr:colOff>543717</xdr:colOff>
      <xdr:row>10</xdr:row>
      <xdr:rowOff>31451</xdr:rowOff>
    </xdr:to>
    <xdr:sp macro="" textlink="">
      <xdr:nvSpPr>
        <xdr:cNvPr id="23" name="TextBox 22">
          <a:extLst>
            <a:ext uri="{FF2B5EF4-FFF2-40B4-BE49-F238E27FC236}">
              <a16:creationId xmlns:a16="http://schemas.microsoft.com/office/drawing/2014/main" id="{9B617F45-859A-8502-FAD9-7DF952E112B3}"/>
            </a:ext>
          </a:extLst>
        </xdr:cNvPr>
        <xdr:cNvSpPr txBox="1"/>
      </xdr:nvSpPr>
      <xdr:spPr>
        <a:xfrm>
          <a:off x="7079985" y="1514656"/>
          <a:ext cx="2607732" cy="317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a:solidFill>
                <a:srgbClr val="1E3A5F"/>
              </a:solidFill>
              <a:latin typeface="Segoe UI" panose="020B0502040204020203" pitchFamily="34" charset="0"/>
              <a:ea typeface="+mn-ea"/>
              <a:cs typeface="Segoe UI" panose="020B0502040204020203" pitchFamily="34" charset="0"/>
            </a:rPr>
            <a:t>TOTAL SALARY COST</a:t>
          </a:r>
        </a:p>
      </xdr:txBody>
    </xdr:sp>
    <xdr:clientData/>
  </xdr:twoCellAnchor>
  <xdr:twoCellAnchor>
    <xdr:from>
      <xdr:col>17</xdr:col>
      <xdr:colOff>459943</xdr:colOff>
      <xdr:row>8</xdr:row>
      <xdr:rowOff>73783</xdr:rowOff>
    </xdr:from>
    <xdr:to>
      <xdr:col>22</xdr:col>
      <xdr:colOff>19675</xdr:colOff>
      <xdr:row>10</xdr:row>
      <xdr:rowOff>31451</xdr:rowOff>
    </xdr:to>
    <xdr:sp macro="" textlink="">
      <xdr:nvSpPr>
        <xdr:cNvPr id="24" name="TextBox 23">
          <a:extLst>
            <a:ext uri="{FF2B5EF4-FFF2-40B4-BE49-F238E27FC236}">
              <a16:creationId xmlns:a16="http://schemas.microsoft.com/office/drawing/2014/main" id="{77076597-4AF0-8396-B6E5-695A5D2FBB3B}"/>
            </a:ext>
          </a:extLst>
        </xdr:cNvPr>
        <xdr:cNvSpPr txBox="1"/>
      </xdr:nvSpPr>
      <xdr:spPr>
        <a:xfrm>
          <a:off x="10823143" y="1514656"/>
          <a:ext cx="2607732" cy="317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1E3A5F"/>
              </a:solidFill>
              <a:latin typeface="Segoe UI" panose="020B0502040204020203" pitchFamily="34" charset="0"/>
              <a:cs typeface="Segoe UI" panose="020B0502040204020203" pitchFamily="34" charset="0"/>
            </a:rPr>
            <a:t>AVERAGE SALARY</a:t>
          </a:r>
        </a:p>
      </xdr:txBody>
    </xdr:sp>
    <xdr:clientData/>
  </xdr:twoCellAnchor>
  <xdr:twoCellAnchor>
    <xdr:from>
      <xdr:col>23</xdr:col>
      <xdr:colOff>545212</xdr:colOff>
      <xdr:row>8</xdr:row>
      <xdr:rowOff>73783</xdr:rowOff>
    </xdr:from>
    <xdr:to>
      <xdr:col>28</xdr:col>
      <xdr:colOff>104944</xdr:colOff>
      <xdr:row>10</xdr:row>
      <xdr:rowOff>31451</xdr:rowOff>
    </xdr:to>
    <xdr:sp macro="" textlink="">
      <xdr:nvSpPr>
        <xdr:cNvPr id="25" name="TextBox 24">
          <a:extLst>
            <a:ext uri="{FF2B5EF4-FFF2-40B4-BE49-F238E27FC236}">
              <a16:creationId xmlns:a16="http://schemas.microsoft.com/office/drawing/2014/main" id="{5A88164F-011C-4F70-6CEA-8AC10CBB6D9C}"/>
            </a:ext>
          </a:extLst>
        </xdr:cNvPr>
        <xdr:cNvSpPr txBox="1"/>
      </xdr:nvSpPr>
      <xdr:spPr>
        <a:xfrm>
          <a:off x="14566012" y="1514656"/>
          <a:ext cx="2607732" cy="317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1E3A5F"/>
              </a:solidFill>
              <a:latin typeface="Segoe UI" panose="020B0502040204020203" pitchFamily="34" charset="0"/>
              <a:cs typeface="Segoe UI" panose="020B0502040204020203" pitchFamily="34" charset="0"/>
            </a:rPr>
            <a:t>Average Years of Service</a:t>
          </a:r>
        </a:p>
      </xdr:txBody>
    </xdr:sp>
    <xdr:clientData/>
  </xdr:twoCellAnchor>
  <xdr:twoCellAnchor>
    <xdr:from>
      <xdr:col>29</xdr:col>
      <xdr:colOff>530811</xdr:colOff>
      <xdr:row>8</xdr:row>
      <xdr:rowOff>73783</xdr:rowOff>
    </xdr:from>
    <xdr:to>
      <xdr:col>34</xdr:col>
      <xdr:colOff>90544</xdr:colOff>
      <xdr:row>10</xdr:row>
      <xdr:rowOff>31451</xdr:rowOff>
    </xdr:to>
    <xdr:sp macro="" textlink="">
      <xdr:nvSpPr>
        <xdr:cNvPr id="26" name="TextBox 25">
          <a:extLst>
            <a:ext uri="{FF2B5EF4-FFF2-40B4-BE49-F238E27FC236}">
              <a16:creationId xmlns:a16="http://schemas.microsoft.com/office/drawing/2014/main" id="{FD1BB875-3B97-845B-2B2C-851840F2CAB7}"/>
            </a:ext>
          </a:extLst>
        </xdr:cNvPr>
        <xdr:cNvSpPr txBox="1"/>
      </xdr:nvSpPr>
      <xdr:spPr>
        <a:xfrm>
          <a:off x="18209211" y="1514656"/>
          <a:ext cx="2607733" cy="317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1E3A5F"/>
              </a:solidFill>
              <a:latin typeface="Segoe UI" panose="020B0502040204020203" pitchFamily="34" charset="0"/>
              <a:cs typeface="Segoe UI" panose="020B0502040204020203" pitchFamily="34" charset="0"/>
            </a:rPr>
            <a:t>Average Leave Balance</a:t>
          </a:r>
        </a:p>
      </xdr:txBody>
    </xdr:sp>
    <xdr:clientData/>
  </xdr:twoCellAnchor>
  <xdr:twoCellAnchor>
    <xdr:from>
      <xdr:col>12</xdr:col>
      <xdr:colOff>98906</xdr:colOff>
      <xdr:row>10</xdr:row>
      <xdr:rowOff>20201</xdr:rowOff>
    </xdr:from>
    <xdr:to>
      <xdr:col>15</xdr:col>
      <xdr:colOff>357081</xdr:colOff>
      <xdr:row>14</xdr:row>
      <xdr:rowOff>12856</xdr:rowOff>
    </xdr:to>
    <xdr:sp macro="" textlink="Pivot!$A$4">
      <xdr:nvSpPr>
        <xdr:cNvPr id="27" name="TextBox 26">
          <a:extLst>
            <a:ext uri="{FF2B5EF4-FFF2-40B4-BE49-F238E27FC236}">
              <a16:creationId xmlns:a16="http://schemas.microsoft.com/office/drawing/2014/main" id="{26EB95B5-30E5-9B71-CA79-A17EF6D9BA15}"/>
            </a:ext>
          </a:extLst>
        </xdr:cNvPr>
        <xdr:cNvSpPr txBox="1"/>
      </xdr:nvSpPr>
      <xdr:spPr>
        <a:xfrm>
          <a:off x="7329046" y="1792294"/>
          <a:ext cx="2065709" cy="701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540F04D-FF38-47F6-8E1E-15CEC405168E}" type="TxLink">
            <a:rPr lang="en-US" sz="3000" b="1" i="0" u="none" strike="noStrike">
              <a:solidFill>
                <a:srgbClr val="06B6D4"/>
              </a:solidFill>
              <a:effectLst>
                <a:outerShdw blurRad="50800" dist="38100" dir="5400000" algn="t" rotWithShape="0">
                  <a:prstClr val="black">
                    <a:alpha val="40000"/>
                  </a:prstClr>
                </a:outerShdw>
              </a:effectLst>
              <a:latin typeface="Segoe UI" panose="020B0502040204020203" pitchFamily="34" charset="0"/>
              <a:ea typeface="Calibri"/>
              <a:cs typeface="Segoe UI" panose="020B0502040204020203" pitchFamily="34" charset="0"/>
            </a:rPr>
            <a:pPr marL="0" indent="0" algn="ctr"/>
            <a:t>$8,731,200</a:t>
          </a:fld>
          <a:endParaRPr lang="en-US" sz="3000" b="1" i="0" u="none" strike="noStrike">
            <a:solidFill>
              <a:srgbClr val="06B6D4"/>
            </a:solidFill>
            <a:effectLst>
              <a:outerShdw blurRad="50800" dist="38100" dir="5400000" algn="t" rotWithShape="0">
                <a:prstClr val="black">
                  <a:alpha val="40000"/>
                </a:prstClr>
              </a:outerShdw>
            </a:effectLst>
            <a:latin typeface="Segoe UI" panose="020B0502040204020203" pitchFamily="34" charset="0"/>
            <a:ea typeface="Calibri"/>
            <a:cs typeface="Segoe UI" panose="020B0502040204020203" pitchFamily="34" charset="0"/>
          </a:endParaRPr>
        </a:p>
      </xdr:txBody>
    </xdr:sp>
    <xdr:clientData/>
  </xdr:twoCellAnchor>
  <xdr:twoCellAnchor>
    <xdr:from>
      <xdr:col>18</xdr:col>
      <xdr:colOff>108048</xdr:colOff>
      <xdr:row>10</xdr:row>
      <xdr:rowOff>12180</xdr:rowOff>
    </xdr:from>
    <xdr:to>
      <xdr:col>21</xdr:col>
      <xdr:colOff>371571</xdr:colOff>
      <xdr:row>14</xdr:row>
      <xdr:rowOff>4835</xdr:rowOff>
    </xdr:to>
    <xdr:sp macro="" textlink="Pivot!$G$4">
      <xdr:nvSpPr>
        <xdr:cNvPr id="28" name="TextBox 27">
          <a:extLst>
            <a:ext uri="{FF2B5EF4-FFF2-40B4-BE49-F238E27FC236}">
              <a16:creationId xmlns:a16="http://schemas.microsoft.com/office/drawing/2014/main" id="{506C0B0C-6EB4-1EBD-CC6E-81F3A8E9058E}"/>
            </a:ext>
          </a:extLst>
        </xdr:cNvPr>
        <xdr:cNvSpPr txBox="1"/>
      </xdr:nvSpPr>
      <xdr:spPr>
        <a:xfrm>
          <a:off x="10953257" y="1784273"/>
          <a:ext cx="2071058" cy="701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13A927-B0A6-45A6-99DB-6FD7EB111BDD}" type="TxLink">
            <a:rPr lang="en-US" sz="3000" b="1" i="0" u="none" strike="noStrike">
              <a:solidFill>
                <a:srgbClr val="3B82F6"/>
              </a:solidFill>
              <a:effectLst>
                <a:outerShdw blurRad="50800" dist="38100" dir="5400000" algn="t" rotWithShape="0">
                  <a:prstClr val="black">
                    <a:alpha val="40000"/>
                  </a:prstClr>
                </a:outerShdw>
              </a:effectLst>
              <a:latin typeface="Segoe UI" panose="020B0502040204020203" pitchFamily="34" charset="0"/>
              <a:ea typeface="Calibri"/>
              <a:cs typeface="Segoe UI" panose="020B0502040204020203" pitchFamily="34" charset="0"/>
            </a:rPr>
            <a:pPr marL="0" indent="0" algn="ctr"/>
            <a:t>$54,231</a:t>
          </a:fld>
          <a:endParaRPr lang="en-US" sz="3000" b="1" i="0" u="none" strike="noStrike">
            <a:solidFill>
              <a:srgbClr val="3B82F6"/>
            </a:solidFill>
            <a:effectLst>
              <a:outerShdw blurRad="50800" dist="38100" dir="5400000" algn="t" rotWithShape="0">
                <a:prstClr val="black">
                  <a:alpha val="40000"/>
                </a:prstClr>
              </a:outerShdw>
            </a:effectLst>
            <a:latin typeface="Segoe UI" panose="020B0502040204020203" pitchFamily="34" charset="0"/>
            <a:ea typeface="Calibri"/>
            <a:cs typeface="Segoe UI" panose="020B0502040204020203" pitchFamily="34" charset="0"/>
          </a:endParaRPr>
        </a:p>
      </xdr:txBody>
    </xdr:sp>
    <xdr:clientData/>
  </xdr:twoCellAnchor>
  <xdr:twoCellAnchor>
    <xdr:from>
      <xdr:col>24</xdr:col>
      <xdr:colOff>505148</xdr:colOff>
      <xdr:row>10</xdr:row>
      <xdr:rowOff>63117</xdr:rowOff>
    </xdr:from>
    <xdr:to>
      <xdr:col>27</xdr:col>
      <xdr:colOff>52503</xdr:colOff>
      <xdr:row>14</xdr:row>
      <xdr:rowOff>62821</xdr:rowOff>
    </xdr:to>
    <xdr:sp macro="" textlink="Pivot!J4">
      <xdr:nvSpPr>
        <xdr:cNvPr id="29" name="TextBox 28">
          <a:extLst>
            <a:ext uri="{FF2B5EF4-FFF2-40B4-BE49-F238E27FC236}">
              <a16:creationId xmlns:a16="http://schemas.microsoft.com/office/drawing/2014/main" id="{D95E71D1-0E0E-38FF-280F-478CA4C29B75}"/>
            </a:ext>
          </a:extLst>
        </xdr:cNvPr>
        <xdr:cNvSpPr txBox="1"/>
      </xdr:nvSpPr>
      <xdr:spPr>
        <a:xfrm>
          <a:off x="15168499" y="1916631"/>
          <a:ext cx="1380274" cy="741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3C83F4-E8F5-473D-B29F-3F247254B8B1}" type="TxLink">
            <a:rPr lang="en-US" sz="4000" b="1" i="0" u="none" strike="noStrike">
              <a:solidFill>
                <a:srgbClr val="06B6D4"/>
              </a:solidFill>
              <a:effectLst>
                <a:outerShdw blurRad="50800" dist="38100" dir="5400000" algn="t" rotWithShape="0">
                  <a:prstClr val="black">
                    <a:alpha val="40000"/>
                  </a:prstClr>
                </a:outerShdw>
              </a:effectLst>
              <a:latin typeface="Segoe UI" panose="020B0502040204020203" pitchFamily="34" charset="0"/>
              <a:ea typeface="Calibri"/>
              <a:cs typeface="Segoe UI" panose="020B0502040204020203" pitchFamily="34" charset="0"/>
            </a:rPr>
            <a:pPr marL="0" indent="0" algn="ctr"/>
            <a:t>6</a:t>
          </a:fld>
          <a:endParaRPr lang="en-US" sz="4000" b="1" i="0" u="none" strike="noStrike">
            <a:solidFill>
              <a:srgbClr val="06B6D4"/>
            </a:solidFill>
            <a:effectLst>
              <a:outerShdw blurRad="50800" dist="38100" dir="5400000" algn="t" rotWithShape="0">
                <a:prstClr val="black">
                  <a:alpha val="40000"/>
                </a:prstClr>
              </a:outerShdw>
            </a:effectLst>
            <a:latin typeface="Segoe UI" panose="020B0502040204020203" pitchFamily="34" charset="0"/>
            <a:ea typeface="Calibri"/>
            <a:cs typeface="Segoe UI" panose="020B0502040204020203" pitchFamily="34" charset="0"/>
          </a:endParaRPr>
        </a:p>
      </xdr:txBody>
    </xdr:sp>
    <xdr:clientData/>
  </xdr:twoCellAnchor>
  <xdr:twoCellAnchor>
    <xdr:from>
      <xdr:col>30</xdr:col>
      <xdr:colOff>166626</xdr:colOff>
      <xdr:row>10</xdr:row>
      <xdr:rowOff>52349</xdr:rowOff>
    </xdr:from>
    <xdr:to>
      <xdr:col>33</xdr:col>
      <xdr:colOff>430149</xdr:colOff>
      <xdr:row>14</xdr:row>
      <xdr:rowOff>40758</xdr:rowOff>
    </xdr:to>
    <xdr:sp macro="" textlink="Pivot!L4">
      <xdr:nvSpPr>
        <xdr:cNvPr id="30" name="TextBox 29">
          <a:extLst>
            <a:ext uri="{FF2B5EF4-FFF2-40B4-BE49-F238E27FC236}">
              <a16:creationId xmlns:a16="http://schemas.microsoft.com/office/drawing/2014/main" id="{266FD657-0950-51D9-735E-14DDB95D99E2}"/>
            </a:ext>
          </a:extLst>
        </xdr:cNvPr>
        <xdr:cNvSpPr txBox="1"/>
      </xdr:nvSpPr>
      <xdr:spPr>
        <a:xfrm>
          <a:off x="18241975" y="1824442"/>
          <a:ext cx="2071058" cy="697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0B896FD-E438-476E-BA76-389071355555}" type="TxLink">
            <a:rPr lang="en-US" sz="3600" b="1" i="0" u="none" strike="noStrike">
              <a:solidFill>
                <a:srgbClr val="8B5CF6"/>
              </a:solidFill>
              <a:effectLst>
                <a:outerShdw blurRad="50800" dist="38100" dir="5400000" algn="t" rotWithShape="0">
                  <a:prstClr val="black">
                    <a:alpha val="40000"/>
                  </a:prstClr>
                </a:outerShdw>
              </a:effectLst>
              <a:latin typeface="Segoe UI" panose="020B0502040204020203" pitchFamily="34" charset="0"/>
              <a:ea typeface="Calibri"/>
              <a:cs typeface="Segoe UI" panose="020B0502040204020203" pitchFamily="34" charset="0"/>
            </a:rPr>
            <a:pPr marL="0" indent="0" algn="ctr"/>
            <a:t>16</a:t>
          </a:fld>
          <a:endParaRPr lang="en-US" sz="3600" b="1" i="0" u="none" strike="noStrike">
            <a:solidFill>
              <a:srgbClr val="8B5CF6"/>
            </a:solidFill>
            <a:effectLst>
              <a:outerShdw blurRad="50800" dist="38100" dir="5400000" algn="t" rotWithShape="0">
                <a:prstClr val="black">
                  <a:alpha val="40000"/>
                </a:prstClr>
              </a:outerShdw>
            </a:effectLst>
            <a:latin typeface="Segoe UI" panose="020B0502040204020203" pitchFamily="34" charset="0"/>
            <a:ea typeface="Calibri"/>
            <a:cs typeface="Segoe UI" panose="020B0502040204020203" pitchFamily="34" charset="0"/>
          </a:endParaRPr>
        </a:p>
      </xdr:txBody>
    </xdr:sp>
    <xdr:clientData/>
  </xdr:twoCellAnchor>
  <xdr:twoCellAnchor>
    <xdr:from>
      <xdr:col>12</xdr:col>
      <xdr:colOff>63438</xdr:colOff>
      <xdr:row>13</xdr:row>
      <xdr:rowOff>179137</xdr:rowOff>
    </xdr:from>
    <xdr:to>
      <xdr:col>15</xdr:col>
      <xdr:colOff>245064</xdr:colOff>
      <xdr:row>16</xdr:row>
      <xdr:rowOff>91783</xdr:rowOff>
    </xdr:to>
    <xdr:sp macro="" textlink="">
      <xdr:nvSpPr>
        <xdr:cNvPr id="31" name="TextBox 30">
          <a:extLst>
            <a:ext uri="{FF2B5EF4-FFF2-40B4-BE49-F238E27FC236}">
              <a16:creationId xmlns:a16="http://schemas.microsoft.com/office/drawing/2014/main" id="{BC3967BC-D290-9A7D-1317-6E43AE51DBED}"/>
            </a:ext>
          </a:extLst>
        </xdr:cNvPr>
        <xdr:cNvSpPr txBox="1"/>
      </xdr:nvSpPr>
      <xdr:spPr>
        <a:xfrm>
          <a:off x="7378638" y="2520555"/>
          <a:ext cx="2010426" cy="4529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dk1"/>
              </a:solidFill>
              <a:effectLst>
                <a:outerShdw blurRad="50800" dist="38100" dir="2700000" algn="tl" rotWithShape="0">
                  <a:prstClr val="black">
                    <a:alpha val="40000"/>
                  </a:prstClr>
                </a:outerShdw>
              </a:effectLst>
              <a:latin typeface="+mn-lt"/>
              <a:ea typeface="+mn-ea"/>
              <a:cs typeface="+mn-cs"/>
            </a:rPr>
            <a:t>Total Salary Cost</a:t>
          </a:r>
        </a:p>
      </xdr:txBody>
    </xdr:sp>
    <xdr:clientData/>
  </xdr:twoCellAnchor>
  <xdr:twoCellAnchor>
    <xdr:from>
      <xdr:col>18</xdr:col>
      <xdr:colOff>146322</xdr:colOff>
      <xdr:row>14</xdr:row>
      <xdr:rowOff>10695</xdr:rowOff>
    </xdr:from>
    <xdr:to>
      <xdr:col>21</xdr:col>
      <xdr:colOff>333296</xdr:colOff>
      <xdr:row>16</xdr:row>
      <xdr:rowOff>110499</xdr:rowOff>
    </xdr:to>
    <xdr:sp macro="" textlink="">
      <xdr:nvSpPr>
        <xdr:cNvPr id="32" name="TextBox 31">
          <a:extLst>
            <a:ext uri="{FF2B5EF4-FFF2-40B4-BE49-F238E27FC236}">
              <a16:creationId xmlns:a16="http://schemas.microsoft.com/office/drawing/2014/main" id="{A8A43779-CA54-7255-B61E-35D294EBFC60}"/>
            </a:ext>
          </a:extLst>
        </xdr:cNvPr>
        <xdr:cNvSpPr txBox="1"/>
      </xdr:nvSpPr>
      <xdr:spPr>
        <a:xfrm>
          <a:off x="11119122" y="2532222"/>
          <a:ext cx="2015774" cy="4600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dk1"/>
              </a:solidFill>
              <a:effectLst>
                <a:outerShdw blurRad="50800" dist="38100" dir="2700000" algn="tl" rotWithShape="0">
                  <a:prstClr val="black">
                    <a:alpha val="40000"/>
                  </a:prstClr>
                </a:outerShdw>
              </a:effectLst>
              <a:latin typeface="+mn-lt"/>
              <a:ea typeface="+mn-ea"/>
              <a:cs typeface="+mn-cs"/>
            </a:rPr>
            <a:t>Per Employee</a:t>
          </a:r>
        </a:p>
      </xdr:txBody>
    </xdr:sp>
    <xdr:clientData/>
  </xdr:twoCellAnchor>
  <xdr:twoCellAnchor>
    <xdr:from>
      <xdr:col>24</xdr:col>
      <xdr:colOff>231592</xdr:colOff>
      <xdr:row>14</xdr:row>
      <xdr:rowOff>29411</xdr:rowOff>
    </xdr:from>
    <xdr:to>
      <xdr:col>27</xdr:col>
      <xdr:colOff>418565</xdr:colOff>
      <xdr:row>16</xdr:row>
      <xdr:rowOff>129215</xdr:rowOff>
    </xdr:to>
    <xdr:sp macro="" textlink="">
      <xdr:nvSpPr>
        <xdr:cNvPr id="33" name="TextBox 32">
          <a:extLst>
            <a:ext uri="{FF2B5EF4-FFF2-40B4-BE49-F238E27FC236}">
              <a16:creationId xmlns:a16="http://schemas.microsoft.com/office/drawing/2014/main" id="{4A19FDA8-7FDA-89E1-43F4-ADB62B36950E}"/>
            </a:ext>
          </a:extLst>
        </xdr:cNvPr>
        <xdr:cNvSpPr txBox="1"/>
      </xdr:nvSpPr>
      <xdr:spPr>
        <a:xfrm>
          <a:off x="14861992" y="2550938"/>
          <a:ext cx="2015773" cy="4600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dk1"/>
              </a:solidFill>
              <a:effectLst>
                <a:outerShdw blurRad="50800" dist="38100" dir="2700000" algn="tl" rotWithShape="0">
                  <a:prstClr val="black">
                    <a:alpha val="40000"/>
                  </a:prstClr>
                </a:outerShdw>
              </a:effectLst>
              <a:latin typeface="+mn-lt"/>
              <a:ea typeface="+mn-ea"/>
              <a:cs typeface="+mn-cs"/>
            </a:rPr>
            <a:t>Years</a:t>
          </a:r>
        </a:p>
      </xdr:txBody>
    </xdr:sp>
    <xdr:clientData/>
  </xdr:twoCellAnchor>
  <xdr:twoCellAnchor>
    <xdr:from>
      <xdr:col>30</xdr:col>
      <xdr:colOff>217190</xdr:colOff>
      <xdr:row>14</xdr:row>
      <xdr:rowOff>48127</xdr:rowOff>
    </xdr:from>
    <xdr:to>
      <xdr:col>33</xdr:col>
      <xdr:colOff>404164</xdr:colOff>
      <xdr:row>16</xdr:row>
      <xdr:rowOff>147931</xdr:rowOff>
    </xdr:to>
    <xdr:sp macro="" textlink="">
      <xdr:nvSpPr>
        <xdr:cNvPr id="34" name="TextBox 33">
          <a:extLst>
            <a:ext uri="{FF2B5EF4-FFF2-40B4-BE49-F238E27FC236}">
              <a16:creationId xmlns:a16="http://schemas.microsoft.com/office/drawing/2014/main" id="{3DC72D98-3CD0-61AD-101A-BD4D8C2D34ED}"/>
            </a:ext>
          </a:extLst>
        </xdr:cNvPr>
        <xdr:cNvSpPr txBox="1"/>
      </xdr:nvSpPr>
      <xdr:spPr>
        <a:xfrm>
          <a:off x="18505190" y="2569654"/>
          <a:ext cx="2015774" cy="4600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dk1"/>
              </a:solidFill>
              <a:effectLst>
                <a:outerShdw blurRad="50800" dist="38100" dir="2700000" algn="tl" rotWithShape="0">
                  <a:prstClr val="black">
                    <a:alpha val="40000"/>
                  </a:prstClr>
                </a:outerShdw>
              </a:effectLst>
              <a:latin typeface="+mn-lt"/>
              <a:ea typeface="+mn-ea"/>
              <a:cs typeface="+mn-cs"/>
            </a:rPr>
            <a:t>Employees</a:t>
          </a:r>
        </a:p>
      </xdr:txBody>
    </xdr:sp>
    <xdr:clientData/>
  </xdr:twoCellAnchor>
  <xdr:twoCellAnchor>
    <xdr:from>
      <xdr:col>22</xdr:col>
      <xdr:colOff>328852</xdr:colOff>
      <xdr:row>18</xdr:row>
      <xdr:rowOff>18412</xdr:rowOff>
    </xdr:from>
    <xdr:to>
      <xdr:col>38</xdr:col>
      <xdr:colOff>324543</xdr:colOff>
      <xdr:row>46</xdr:row>
      <xdr:rowOff>153575</xdr:rowOff>
    </xdr:to>
    <xdr:grpSp>
      <xdr:nvGrpSpPr>
        <xdr:cNvPr id="59" name="Group 58">
          <a:extLst>
            <a:ext uri="{FF2B5EF4-FFF2-40B4-BE49-F238E27FC236}">
              <a16:creationId xmlns:a16="http://schemas.microsoft.com/office/drawing/2014/main" id="{F18F073F-C850-2F61-48F3-3FCDA9C72627}"/>
            </a:ext>
          </a:extLst>
        </xdr:cNvPr>
        <xdr:cNvGrpSpPr/>
      </xdr:nvGrpSpPr>
      <xdr:grpSpPr>
        <a:xfrm>
          <a:off x="13869006" y="3183643"/>
          <a:ext cx="9843075" cy="5058855"/>
          <a:chOff x="14161580" y="4000204"/>
          <a:chExt cx="9501150" cy="5323651"/>
        </a:xfrm>
      </xdr:grpSpPr>
      <xdr:sp macro="" textlink="">
        <xdr:nvSpPr>
          <xdr:cNvPr id="51" name="Rectangle: Rounded Corners 50">
            <a:extLst>
              <a:ext uri="{FF2B5EF4-FFF2-40B4-BE49-F238E27FC236}">
                <a16:creationId xmlns:a16="http://schemas.microsoft.com/office/drawing/2014/main" id="{93405F6E-7AF7-8F8D-1127-8C0CA137FAD5}"/>
              </a:ext>
            </a:extLst>
          </xdr:cNvPr>
          <xdr:cNvSpPr/>
        </xdr:nvSpPr>
        <xdr:spPr>
          <a:xfrm>
            <a:off x="14161580" y="4000204"/>
            <a:ext cx="9501150" cy="5323651"/>
          </a:xfrm>
          <a:prstGeom prst="roundRect">
            <a:avLst/>
          </a:prstGeom>
          <a:solidFill>
            <a:srgbClr val="FFFFFF"/>
          </a:solidFill>
          <a:ln>
            <a:solidFill>
              <a:srgbClr val="E5E7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glow rad="228600">
                  <a:schemeClr val="accent2">
                    <a:satMod val="175000"/>
                    <a:alpha val="40000"/>
                  </a:schemeClr>
                </a:glow>
              </a:effectLst>
            </a:endParaRPr>
          </a:p>
        </xdr:txBody>
      </xdr:sp>
      <xdr:graphicFrame macro="">
        <xdr:nvGraphicFramePr>
          <xdr:cNvPr id="55" name="Chart 54">
            <a:extLst>
              <a:ext uri="{FF2B5EF4-FFF2-40B4-BE49-F238E27FC236}">
                <a16:creationId xmlns:a16="http://schemas.microsoft.com/office/drawing/2014/main" id="{B4BE31A1-4CB0-45D5-BCF8-642933591B24}"/>
              </a:ext>
            </a:extLst>
          </xdr:cNvPr>
          <xdr:cNvGraphicFramePr>
            <a:graphicFrameLocks/>
          </xdr:cNvGraphicFramePr>
        </xdr:nvGraphicFramePr>
        <xdr:xfrm>
          <a:off x="14328542" y="4301849"/>
          <a:ext cx="8801934" cy="4762003"/>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6</xdr:col>
      <xdr:colOff>3601</xdr:colOff>
      <xdr:row>74</xdr:row>
      <xdr:rowOff>168236</xdr:rowOff>
    </xdr:from>
    <xdr:to>
      <xdr:col>21</xdr:col>
      <xdr:colOff>512197</xdr:colOff>
      <xdr:row>103</xdr:row>
      <xdr:rowOff>128612</xdr:rowOff>
    </xdr:to>
    <xdr:grpSp>
      <xdr:nvGrpSpPr>
        <xdr:cNvPr id="35" name="Group 34">
          <a:extLst>
            <a:ext uri="{FF2B5EF4-FFF2-40B4-BE49-F238E27FC236}">
              <a16:creationId xmlns:a16="http://schemas.microsoft.com/office/drawing/2014/main" id="{ADBB5D90-9C6E-795D-67FA-6213023695F9}"/>
            </a:ext>
          </a:extLst>
        </xdr:cNvPr>
        <xdr:cNvGrpSpPr/>
      </xdr:nvGrpSpPr>
      <xdr:grpSpPr>
        <a:xfrm>
          <a:off x="3696370" y="13180851"/>
          <a:ext cx="9740519" cy="5059915"/>
          <a:chOff x="2995402" y="3436661"/>
          <a:chExt cx="9508877" cy="5453621"/>
        </a:xfrm>
      </xdr:grpSpPr>
      <xdr:grpSp>
        <xdr:nvGrpSpPr>
          <xdr:cNvPr id="58" name="Group 57">
            <a:extLst>
              <a:ext uri="{FF2B5EF4-FFF2-40B4-BE49-F238E27FC236}">
                <a16:creationId xmlns:a16="http://schemas.microsoft.com/office/drawing/2014/main" id="{1B0D6EB5-D92A-F1BD-9260-88AA8F4AD70C}"/>
              </a:ext>
            </a:extLst>
          </xdr:cNvPr>
          <xdr:cNvGrpSpPr/>
        </xdr:nvGrpSpPr>
        <xdr:grpSpPr>
          <a:xfrm>
            <a:off x="2995402" y="3436661"/>
            <a:ext cx="9508877" cy="5453621"/>
            <a:chOff x="2979612" y="4287847"/>
            <a:chExt cx="8631594" cy="5074108"/>
          </a:xfrm>
        </xdr:grpSpPr>
        <xdr:sp macro="" textlink="">
          <xdr:nvSpPr>
            <xdr:cNvPr id="50" name="Rectangle: Rounded Corners 49">
              <a:extLst>
                <a:ext uri="{FF2B5EF4-FFF2-40B4-BE49-F238E27FC236}">
                  <a16:creationId xmlns:a16="http://schemas.microsoft.com/office/drawing/2014/main" id="{D992E0D9-D262-0353-6B00-39C7FE25D99C}"/>
                </a:ext>
              </a:extLst>
            </xdr:cNvPr>
            <xdr:cNvSpPr/>
          </xdr:nvSpPr>
          <xdr:spPr>
            <a:xfrm>
              <a:off x="2979612" y="4287847"/>
              <a:ext cx="8631594" cy="5074108"/>
            </a:xfrm>
            <a:prstGeom prst="roundRect">
              <a:avLst/>
            </a:prstGeom>
            <a:solidFill>
              <a:srgbClr val="FFFFFF"/>
            </a:solidFill>
            <a:ln>
              <a:solidFill>
                <a:srgbClr val="E5E7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4" name="Chart 53">
              <a:extLst>
                <a:ext uri="{FF2B5EF4-FFF2-40B4-BE49-F238E27FC236}">
                  <a16:creationId xmlns:a16="http://schemas.microsoft.com/office/drawing/2014/main" id="{F670B33C-1D5D-4B4C-8373-C79301D0A570}"/>
                </a:ext>
              </a:extLst>
            </xdr:cNvPr>
            <xdr:cNvGraphicFramePr>
              <a:graphicFrameLocks/>
            </xdr:cNvGraphicFramePr>
          </xdr:nvGraphicFramePr>
          <xdr:xfrm>
            <a:off x="3238305" y="4667805"/>
            <a:ext cx="8091177" cy="4391717"/>
          </xdr:xfrm>
          <a:graphic>
            <a:graphicData uri="http://schemas.openxmlformats.org/drawingml/2006/chart">
              <c:chart xmlns:c="http://schemas.openxmlformats.org/drawingml/2006/chart" xmlns:r="http://schemas.openxmlformats.org/officeDocument/2006/relationships" r:id="rId4"/>
            </a:graphicData>
          </a:graphic>
        </xdr:graphicFrame>
      </xdr:grpSp>
      <xdr:pic>
        <xdr:nvPicPr>
          <xdr:cNvPr id="75" name="Graphic 74" descr="Users with solid fill">
            <a:extLst>
              <a:ext uri="{FF2B5EF4-FFF2-40B4-BE49-F238E27FC236}">
                <a16:creationId xmlns:a16="http://schemas.microsoft.com/office/drawing/2014/main" id="{2C4F70C2-BFA0-459A-96AA-4AF34956534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315873" y="3598641"/>
            <a:ext cx="772478" cy="821007"/>
          </a:xfrm>
          <a:prstGeom prst="rect">
            <a:avLst/>
          </a:prstGeom>
          <a:effectLst>
            <a:outerShdw blurRad="50800" dist="38100" dir="2700000" algn="tl" rotWithShape="0">
              <a:prstClr val="black">
                <a:alpha val="40000"/>
              </a:prstClr>
            </a:outerShdw>
          </a:effectLst>
        </xdr:spPr>
      </xdr:pic>
    </xdr:grpSp>
    <xdr:clientData/>
  </xdr:twoCellAnchor>
  <xdr:twoCellAnchor editAs="oneCell">
    <xdr:from>
      <xdr:col>36</xdr:col>
      <xdr:colOff>20211</xdr:colOff>
      <xdr:row>19</xdr:row>
      <xdr:rowOff>21628</xdr:rowOff>
    </xdr:from>
    <xdr:to>
      <xdr:col>37</xdr:col>
      <xdr:colOff>204142</xdr:colOff>
      <xdr:row>23</xdr:row>
      <xdr:rowOff>74180</xdr:rowOff>
    </xdr:to>
    <xdr:pic>
      <xdr:nvPicPr>
        <xdr:cNvPr id="77" name="Graphic 76">
          <a:extLst>
            <a:ext uri="{FF2B5EF4-FFF2-40B4-BE49-F238E27FC236}">
              <a16:creationId xmlns:a16="http://schemas.microsoft.com/office/drawing/2014/main" id="{97DEE052-C341-8588-1D00-B3610597A89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1965811" y="3585443"/>
          <a:ext cx="793531" cy="802829"/>
        </a:xfrm>
        <a:prstGeom prst="rect">
          <a:avLst/>
        </a:prstGeom>
        <a:effectLst>
          <a:outerShdw blurRad="50800" dist="38100" dir="5400000" algn="t" rotWithShape="0">
            <a:prstClr val="black">
              <a:alpha val="40000"/>
            </a:prstClr>
          </a:outerShdw>
        </a:effectLst>
      </xdr:spPr>
    </xdr:pic>
    <xdr:clientData/>
  </xdr:twoCellAnchor>
  <xdr:twoCellAnchor>
    <xdr:from>
      <xdr:col>5</xdr:col>
      <xdr:colOff>300566</xdr:colOff>
      <xdr:row>18</xdr:row>
      <xdr:rowOff>31115</xdr:rowOff>
    </xdr:from>
    <xdr:to>
      <xdr:col>21</xdr:col>
      <xdr:colOff>296678</xdr:colOff>
      <xdr:row>46</xdr:row>
      <xdr:rowOff>164720</xdr:rowOff>
    </xdr:to>
    <xdr:grpSp>
      <xdr:nvGrpSpPr>
        <xdr:cNvPr id="36" name="Group 35">
          <a:extLst>
            <a:ext uri="{FF2B5EF4-FFF2-40B4-BE49-F238E27FC236}">
              <a16:creationId xmlns:a16="http://schemas.microsoft.com/office/drawing/2014/main" id="{CE25DCB4-B39F-26FC-6DF7-D320DDB5E19B}"/>
            </a:ext>
          </a:extLst>
        </xdr:cNvPr>
        <xdr:cNvGrpSpPr/>
      </xdr:nvGrpSpPr>
      <xdr:grpSpPr>
        <a:xfrm>
          <a:off x="3377874" y="3196346"/>
          <a:ext cx="9843496" cy="5057297"/>
          <a:chOff x="3274059" y="14983645"/>
          <a:chExt cx="9398207" cy="5352192"/>
        </a:xfrm>
      </xdr:grpSpPr>
      <xdr:grpSp>
        <xdr:nvGrpSpPr>
          <xdr:cNvPr id="70" name="Group 69">
            <a:extLst>
              <a:ext uri="{FF2B5EF4-FFF2-40B4-BE49-F238E27FC236}">
                <a16:creationId xmlns:a16="http://schemas.microsoft.com/office/drawing/2014/main" id="{F30BE13B-B3E1-66FE-D915-5A9828FD5487}"/>
              </a:ext>
            </a:extLst>
          </xdr:cNvPr>
          <xdr:cNvGrpSpPr/>
        </xdr:nvGrpSpPr>
        <xdr:grpSpPr>
          <a:xfrm>
            <a:off x="3274059" y="14983645"/>
            <a:ext cx="9398207" cy="5352192"/>
            <a:chOff x="3330799" y="14846693"/>
            <a:chExt cx="9568428" cy="5316888"/>
          </a:xfrm>
        </xdr:grpSpPr>
        <xdr:sp macro="" textlink="">
          <xdr:nvSpPr>
            <xdr:cNvPr id="63" name="Rectangle: Rounded Corners 62">
              <a:extLst>
                <a:ext uri="{FF2B5EF4-FFF2-40B4-BE49-F238E27FC236}">
                  <a16:creationId xmlns:a16="http://schemas.microsoft.com/office/drawing/2014/main" id="{695C62D7-D530-1AB5-41CA-0EA8FED7BE0F}"/>
                </a:ext>
              </a:extLst>
            </xdr:cNvPr>
            <xdr:cNvSpPr/>
          </xdr:nvSpPr>
          <xdr:spPr>
            <a:xfrm>
              <a:off x="3330799" y="14846693"/>
              <a:ext cx="9568428" cy="5316888"/>
            </a:xfrm>
            <a:prstGeom prst="roundRect">
              <a:avLst/>
            </a:prstGeom>
            <a:solidFill>
              <a:schemeClr val="bg1"/>
            </a:solidFill>
            <a:ln>
              <a:solidFill>
                <a:srgbClr val="E5E7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5" name="Chart 64">
              <a:extLst>
                <a:ext uri="{FF2B5EF4-FFF2-40B4-BE49-F238E27FC236}">
                  <a16:creationId xmlns:a16="http://schemas.microsoft.com/office/drawing/2014/main" id="{86C6B800-6D30-42CF-A76E-D4203301BEA4}"/>
                </a:ext>
              </a:extLst>
            </xdr:cNvPr>
            <xdr:cNvGraphicFramePr>
              <a:graphicFrameLocks/>
            </xdr:cNvGraphicFramePr>
          </xdr:nvGraphicFramePr>
          <xdr:xfrm>
            <a:off x="3688410" y="15042410"/>
            <a:ext cx="8849697" cy="4819136"/>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68" name="TextBox 67">
              <a:extLst>
                <a:ext uri="{FF2B5EF4-FFF2-40B4-BE49-F238E27FC236}">
                  <a16:creationId xmlns:a16="http://schemas.microsoft.com/office/drawing/2014/main" id="{D747D03C-065F-2E16-B4C0-C145D044AD3B}"/>
                </a:ext>
              </a:extLst>
            </xdr:cNvPr>
            <xdr:cNvSpPr txBox="1"/>
          </xdr:nvSpPr>
          <xdr:spPr>
            <a:xfrm>
              <a:off x="6229178" y="19765776"/>
              <a:ext cx="2996285" cy="3537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latin typeface="Segoe UI" panose="020B0502040204020203" pitchFamily="34" charset="0"/>
                  <a:cs typeface="Segoe UI" panose="020B0502040204020203" pitchFamily="34" charset="0"/>
                </a:rPr>
                <a:t>Salary Band(USD)</a:t>
              </a:r>
            </a:p>
          </xdr:txBody>
        </xdr:sp>
      </xdr:grpSp>
      <xdr:pic>
        <xdr:nvPicPr>
          <xdr:cNvPr id="81" name="Graphic 80" descr="Bar graph with upward trend with solid fill">
            <a:extLst>
              <a:ext uri="{FF2B5EF4-FFF2-40B4-BE49-F238E27FC236}">
                <a16:creationId xmlns:a16="http://schemas.microsoft.com/office/drawing/2014/main" id="{34D14EBF-913A-8A96-96F6-C930D3C6315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187749" y="15319137"/>
            <a:ext cx="911290" cy="916128"/>
          </a:xfrm>
          <a:prstGeom prst="rect">
            <a:avLst/>
          </a:prstGeom>
          <a:effectLst>
            <a:outerShdw blurRad="50800" dist="38100" dir="5400000" algn="t" rotWithShape="0">
              <a:prstClr val="black">
                <a:alpha val="40000"/>
              </a:prstClr>
            </a:outerShdw>
          </a:effectLst>
        </xdr:spPr>
      </xdr:pic>
    </xdr:grpSp>
    <xdr:clientData/>
  </xdr:twoCellAnchor>
  <xdr:twoCellAnchor>
    <xdr:from>
      <xdr:col>22</xdr:col>
      <xdr:colOff>375436</xdr:colOff>
      <xdr:row>75</xdr:row>
      <xdr:rowOff>0</xdr:rowOff>
    </xdr:from>
    <xdr:to>
      <xdr:col>38</xdr:col>
      <xdr:colOff>282222</xdr:colOff>
      <xdr:row>103</xdr:row>
      <xdr:rowOff>143145</xdr:rowOff>
    </xdr:to>
    <xdr:grpSp>
      <xdr:nvGrpSpPr>
        <xdr:cNvPr id="40" name="Group 39">
          <a:extLst>
            <a:ext uri="{FF2B5EF4-FFF2-40B4-BE49-F238E27FC236}">
              <a16:creationId xmlns:a16="http://schemas.microsoft.com/office/drawing/2014/main" id="{5A79060B-1FD1-3EA3-C36D-F111BD107760}"/>
            </a:ext>
          </a:extLst>
        </xdr:cNvPr>
        <xdr:cNvGrpSpPr/>
      </xdr:nvGrpSpPr>
      <xdr:grpSpPr>
        <a:xfrm>
          <a:off x="13915590" y="13188462"/>
          <a:ext cx="9754170" cy="5066837"/>
          <a:chOff x="14182000" y="14977002"/>
          <a:chExt cx="9398207" cy="5366741"/>
        </a:xfrm>
      </xdr:grpSpPr>
      <xdr:sp macro="" textlink="">
        <xdr:nvSpPr>
          <xdr:cNvPr id="64" name="Rectangle: Rounded Corners 63">
            <a:extLst>
              <a:ext uri="{FF2B5EF4-FFF2-40B4-BE49-F238E27FC236}">
                <a16:creationId xmlns:a16="http://schemas.microsoft.com/office/drawing/2014/main" id="{44CF8B0E-3AF2-B2D3-07D5-50D675DE614A}"/>
              </a:ext>
            </a:extLst>
          </xdr:cNvPr>
          <xdr:cNvSpPr/>
        </xdr:nvSpPr>
        <xdr:spPr>
          <a:xfrm>
            <a:off x="14182000" y="14977002"/>
            <a:ext cx="9398207" cy="5366741"/>
          </a:xfrm>
          <a:prstGeom prst="roundRect">
            <a:avLst/>
          </a:prstGeom>
          <a:solidFill>
            <a:schemeClr val="bg1"/>
          </a:solidFill>
          <a:ln>
            <a:solidFill>
              <a:srgbClr val="E5E7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TextBox 71">
            <a:extLst>
              <a:ext uri="{FF2B5EF4-FFF2-40B4-BE49-F238E27FC236}">
                <a16:creationId xmlns:a16="http://schemas.microsoft.com/office/drawing/2014/main" id="{453417D8-20C0-4578-B4F0-FAFCBFB50835}"/>
              </a:ext>
            </a:extLst>
          </xdr:cNvPr>
          <xdr:cNvSpPr txBox="1"/>
        </xdr:nvSpPr>
        <xdr:spPr>
          <a:xfrm>
            <a:off x="17497529" y="19898129"/>
            <a:ext cx="2942040" cy="3559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latin typeface="Segoe UI" panose="020B0502040204020203" pitchFamily="34" charset="0"/>
                <a:cs typeface="Segoe UI" panose="020B0502040204020203" pitchFamily="34" charset="0"/>
              </a:rPr>
              <a:t>Age Group(Years)</a:t>
            </a:r>
          </a:p>
        </xdr:txBody>
      </xdr:sp>
      <xdr:graphicFrame macro="">
        <xdr:nvGraphicFramePr>
          <xdr:cNvPr id="74" name="Chart 73">
            <a:extLst>
              <a:ext uri="{FF2B5EF4-FFF2-40B4-BE49-F238E27FC236}">
                <a16:creationId xmlns:a16="http://schemas.microsoft.com/office/drawing/2014/main" id="{2DEC08CF-2B41-4A5B-AB5C-087FBE6575FD}"/>
              </a:ext>
            </a:extLst>
          </xdr:cNvPr>
          <xdr:cNvGraphicFramePr>
            <a:graphicFrameLocks/>
          </xdr:cNvGraphicFramePr>
        </xdr:nvGraphicFramePr>
        <xdr:xfrm>
          <a:off x="14605450" y="15351900"/>
          <a:ext cx="8712364" cy="4674377"/>
        </xdr:xfrm>
        <a:graphic>
          <a:graphicData uri="http://schemas.openxmlformats.org/drawingml/2006/chart">
            <c:chart xmlns:c="http://schemas.openxmlformats.org/drawingml/2006/chart" xmlns:r="http://schemas.openxmlformats.org/officeDocument/2006/relationships" r:id="rId12"/>
          </a:graphicData>
        </a:graphic>
      </xdr:graphicFrame>
      <xdr:pic>
        <xdr:nvPicPr>
          <xdr:cNvPr id="83" name="Graphic 82">
            <a:extLst>
              <a:ext uri="{FF2B5EF4-FFF2-40B4-BE49-F238E27FC236}">
                <a16:creationId xmlns:a16="http://schemas.microsoft.com/office/drawing/2014/main" id="{5AF900A8-52BA-CF6F-D049-2F77A6879E4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2426300" y="15251057"/>
            <a:ext cx="755778" cy="763381"/>
          </a:xfrm>
          <a:prstGeom prst="rect">
            <a:avLst/>
          </a:prstGeom>
          <a:effectLst>
            <a:outerShdw blurRad="50800" dist="38100" dir="5400000" algn="t" rotWithShape="0">
              <a:prstClr val="black">
                <a:alpha val="40000"/>
              </a:prstClr>
            </a:outerShdw>
          </a:effectLst>
        </xdr:spPr>
      </xdr:pic>
    </xdr:grpSp>
    <xdr:clientData/>
  </xdr:twoCellAnchor>
  <xdr:twoCellAnchor>
    <xdr:from>
      <xdr:col>4</xdr:col>
      <xdr:colOff>462506</xdr:colOff>
      <xdr:row>47</xdr:row>
      <xdr:rowOff>41164</xdr:rowOff>
    </xdr:from>
    <xdr:to>
      <xdr:col>38</xdr:col>
      <xdr:colOff>202864</xdr:colOff>
      <xdr:row>74</xdr:row>
      <xdr:rowOff>85543</xdr:rowOff>
    </xdr:to>
    <xdr:grpSp>
      <xdr:nvGrpSpPr>
        <xdr:cNvPr id="8" name="Group 7">
          <a:extLst>
            <a:ext uri="{FF2B5EF4-FFF2-40B4-BE49-F238E27FC236}">
              <a16:creationId xmlns:a16="http://schemas.microsoft.com/office/drawing/2014/main" id="{B09FA238-D1AF-9A84-AAA9-588690E7C0E3}"/>
            </a:ext>
          </a:extLst>
        </xdr:cNvPr>
        <xdr:cNvGrpSpPr/>
      </xdr:nvGrpSpPr>
      <xdr:grpSpPr>
        <a:xfrm>
          <a:off x="2924352" y="8305933"/>
          <a:ext cx="20666050" cy="4792225"/>
          <a:chOff x="2931857" y="9477976"/>
          <a:chExt cx="20361011" cy="5095349"/>
        </a:xfrm>
      </xdr:grpSpPr>
      <xdr:sp macro="" textlink="">
        <xdr:nvSpPr>
          <xdr:cNvPr id="52" name="Rectangle: Rounded Corners 51">
            <a:extLst>
              <a:ext uri="{FF2B5EF4-FFF2-40B4-BE49-F238E27FC236}">
                <a16:creationId xmlns:a16="http://schemas.microsoft.com/office/drawing/2014/main" id="{60E6742F-AA29-3944-E774-9C98A927559C}"/>
              </a:ext>
            </a:extLst>
          </xdr:cNvPr>
          <xdr:cNvSpPr/>
        </xdr:nvSpPr>
        <xdr:spPr>
          <a:xfrm>
            <a:off x="2931857" y="9477976"/>
            <a:ext cx="20361011" cy="5095349"/>
          </a:xfrm>
          <a:prstGeom prst="roundRect">
            <a:avLst/>
          </a:prstGeom>
          <a:solidFill>
            <a:srgbClr val="FFFFFF"/>
          </a:solidFill>
          <a:ln>
            <a:solidFill>
              <a:srgbClr val="E5E7E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 name="Chart 4">
            <a:extLst>
              <a:ext uri="{FF2B5EF4-FFF2-40B4-BE49-F238E27FC236}">
                <a16:creationId xmlns:a16="http://schemas.microsoft.com/office/drawing/2014/main" id="{2F6742C5-3F3F-45AE-B738-852196B41D10}"/>
              </a:ext>
            </a:extLst>
          </xdr:cNvPr>
          <xdr:cNvGraphicFramePr>
            <a:graphicFrameLocks/>
          </xdr:cNvGraphicFramePr>
        </xdr:nvGraphicFramePr>
        <xdr:xfrm>
          <a:off x="3252583" y="9660320"/>
          <a:ext cx="19627806" cy="4742690"/>
        </xdr:xfrm>
        <a:graphic>
          <a:graphicData uri="http://schemas.openxmlformats.org/drawingml/2006/chart">
            <c:chart xmlns:c="http://schemas.openxmlformats.org/drawingml/2006/chart" xmlns:r="http://schemas.openxmlformats.org/officeDocument/2006/relationships" r:id="rId15"/>
          </a:graphicData>
        </a:graphic>
      </xdr:graphicFrame>
      <xdr:pic>
        <xdr:nvPicPr>
          <xdr:cNvPr id="7" name="Graphic 6">
            <a:extLst>
              <a:ext uri="{FF2B5EF4-FFF2-40B4-BE49-F238E27FC236}">
                <a16:creationId xmlns:a16="http://schemas.microsoft.com/office/drawing/2014/main" id="{48E5967D-4B22-D97D-925E-19AE02A60F2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1769011" y="9703837"/>
            <a:ext cx="1026712" cy="1034661"/>
          </a:xfrm>
          <a:prstGeom prst="rect">
            <a:avLst/>
          </a:prstGeom>
          <a:effectLst>
            <a:outerShdw blurRad="50800" dist="38100" dir="5400000" algn="t" rotWithShape="0">
              <a:prstClr val="black">
                <a:alpha val="40000"/>
              </a:prstClr>
            </a:outerShdw>
          </a:effectLst>
        </xdr:spPr>
      </xdr:pic>
    </xdr:grpSp>
    <xdr:clientData/>
  </xdr:twoCellAnchor>
  <xdr:twoCellAnchor>
    <xdr:from>
      <xdr:col>0</xdr:col>
      <xdr:colOff>43962</xdr:colOff>
      <xdr:row>2</xdr:row>
      <xdr:rowOff>14654</xdr:rowOff>
    </xdr:from>
    <xdr:to>
      <xdr:col>3</xdr:col>
      <xdr:colOff>322385</xdr:colOff>
      <xdr:row>6</xdr:row>
      <xdr:rowOff>87922</xdr:rowOff>
    </xdr:to>
    <xdr:sp macro="" textlink="">
      <xdr:nvSpPr>
        <xdr:cNvPr id="6" name="Rectangle: Rounded Corners 5">
          <a:extLst>
            <a:ext uri="{FF2B5EF4-FFF2-40B4-BE49-F238E27FC236}">
              <a16:creationId xmlns:a16="http://schemas.microsoft.com/office/drawing/2014/main" id="{EEC5C5AE-442E-1A7F-69B2-6F7ADAB2EA32}"/>
            </a:ext>
          </a:extLst>
        </xdr:cNvPr>
        <xdr:cNvSpPr/>
      </xdr:nvSpPr>
      <xdr:spPr>
        <a:xfrm>
          <a:off x="43962" y="366346"/>
          <a:ext cx="2124808" cy="776653"/>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glow rad="63500">
                <a:schemeClr val="accent1">
                  <a:satMod val="175000"/>
                  <a:alpha val="40000"/>
                </a:schemeClr>
              </a:glow>
            </a:effectLs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adr" refreshedDate="46191.549926736108" backgroundQuery="1" createdVersion="8" refreshedVersion="8" minRefreshableVersion="3" recordCount="0" supportSubquery="1" supportAdvancedDrill="1" xr:uid="{ED13B956-2C77-4F66-B9A6-A9A5A77B3301}">
  <cacheSource type="external" connectionId="3"/>
  <cacheFields count="4">
    <cacheField name="[Measures].[Count of Emp ID]" caption="Count of Emp ID" numFmtId="0" hierarchy="40" level="32767"/>
    <cacheField name="[data 1].[Join Month].[Join Month]" caption="Join Month" numFmtId="0" hierarchy="28" level="1">
      <sharedItems count="12">
        <s v="Apr"/>
        <s v="Aug"/>
        <s v="Dec"/>
        <s v="Feb"/>
        <s v="Jan"/>
        <s v="Jul"/>
        <s v="Jun"/>
        <s v="Mar"/>
        <s v="May"/>
        <s v="Nov"/>
        <s v="Oct"/>
        <s v="Sep"/>
      </sharedItems>
    </cacheField>
    <cacheField name="[data 1].[Education Qualification].[Education Qualification]" caption="Education Qualification" numFmtId="0" hierarchy="18" level="1">
      <sharedItems count="4">
        <s v="Bachelor'S Degree"/>
        <s v="Diploma"/>
        <s v="High School Diploma"/>
        <s v="Master'S Degree"/>
      </sharedItems>
    </cacheField>
    <cacheField name="[data 1].[Join Year].[Join Year]" caption="Join Year" numFmtId="0" hierarchy="27" level="1">
      <sharedItems containsSemiMixedTypes="0" containsNonDate="0" containsString="0"/>
    </cacheField>
  </cacheFields>
  <cacheHierarchies count="45">
    <cacheHierarchy uniqueName="[data].[Emp ID]" caption="Emp ID" attribute="1" defaultMemberUniqueName="[data].[Emp ID].[All]" allUniqueName="[data].[Emp ID].[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Education Qualification]" caption="Education Qualification" attribute="1" defaultMemberUniqueName="[data].[Education Qualification].[All]" allUniqueName="[data].[Education Qualification].[All]" dimensionUniqueName="[data]" displayFolder="" count="0" memberValueDatatype="130" unbalanced="0"/>
    <cacheHierarchy uniqueName="[data].[Date of Join]" caption="Date of Join" attribute="1" time="1" defaultMemberUniqueName="[data].[Date of Join].[All]" allUniqueName="[data].[Date of Join].[All]" dimensionUniqueName="[data]" displayFolder="" count="0" memberValueDatatype="7" unbalanced="0"/>
    <cacheHierarchy uniqueName="[data].[Job Title]" caption="Job Title" attribute="1" defaultMemberUniqueName="[data].[Job Title].[All]" allUniqueName="[data].[Job Titl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Age]" caption="Age" attribute="1" defaultMemberUniqueName="[data].[Age].[All]" allUniqueName="[data].[Age].[All]" dimensionUniqueName="[data]" displayFolder="" count="0" memberValueDatatype="5" unbalanced="0"/>
    <cacheHierarchy uniqueName="[data].[Leave Balance]" caption="Leave Balance" attribute="1" defaultMemberUniqueName="[data].[Leave Balance].[All]" allUniqueName="[data].[Leave Balance].[All]" dimensionUniqueName="[data]" displayFolder="" count="0" memberValueDatatype="20" unbalanced="0"/>
    <cacheHierarchy uniqueName="[data].[Years of Service]" caption="Years of Service" attribute="1" defaultMemberUniqueName="[data].[Years of Service].[All]" allUniqueName="[data].[Years of Service].[All]" dimensionUniqueName="[data]" displayFolder="" count="0" memberValueDatatype="5" unbalanced="0"/>
    <cacheHierarchy uniqueName="[data].[Age Group]" caption="Age Group" attribute="1" defaultMemberUniqueName="[data].[Age Group].[All]" allUniqueName="[data].[Age Group].[All]" dimensionUniqueName="[data]" displayFolder="" count="0" memberValueDatatype="130" unbalanced="0"/>
    <cacheHierarchy uniqueName="[data].[Salary Band]" caption="Salary Band" attribute="1" defaultMemberUniqueName="[data].[Salary Band].[All]" allUniqueName="[data].[Salary Band].[All]" dimensionUniqueName="[data]" displayFolder="" count="0" memberValueDatatype="130" unbalanced="0"/>
    <cacheHierarchy uniqueName="[data].[Join Year]" caption="Join Year" attribute="1" defaultMemberUniqueName="[data].[Join Year].[All]" allUniqueName="[data].[Join Year].[All]" dimensionUniqueName="[data]" displayFolder="" count="0" memberValueDatatype="20" unbalanced="0"/>
    <cacheHierarchy uniqueName="[data].[Join Month]" caption="Join Month" attribute="1" defaultMemberUniqueName="[data].[Join Month].[All]" allUniqueName="[data].[Join Month].[All]" dimensionUniqueName="[data]" displayFolder="" count="0" memberValueDatatype="130" unbalanced="0"/>
    <cacheHierarchy uniqueName="[data].[Quarter]" caption="Quarter" attribute="1" defaultMemberUniqueName="[data].[Quarter].[All]" allUniqueName="[data].[Quarter].[All]" dimensionUniqueName="[data]" displayFolder="" count="0" memberValueDatatype="20" unbalanced="0"/>
    <cacheHierarchy uniqueName="[data 1].[Emp ID]" caption="Emp ID" attribute="1" defaultMemberUniqueName="[data 1].[Emp ID].[All]" allUniqueName="[data 1].[Emp ID].[All]" dimensionUniqueName="[data 1]" displayFolder="" count="0" memberValueDatatype="130" unbalanced="0"/>
    <cacheHierarchy uniqueName="[data 1].[Name]" caption="Name" attribute="1" defaultMemberUniqueName="[data 1].[Name].[All]" allUniqueName="[data 1].[Name].[All]" dimensionUniqueName="[data 1]" displayFolder="" count="0" memberValueDatatype="130" unbalanced="0"/>
    <cacheHierarchy uniqueName="[data 1].[Gender]" caption="Gender" attribute="1" defaultMemberUniqueName="[data 1].[Gender].[All]" allUniqueName="[data 1].[Gender].[All]" dimensionUniqueName="[data 1]" displayFolder="" count="0" memberValueDatatype="130" unbalanced="0"/>
    <cacheHierarchy uniqueName="[data 1].[Education Qualification]" caption="Education Qualification" attribute="1" defaultMemberUniqueName="[data 1].[Education Qualification].[All]" allUniqueName="[data 1].[Education Qualification].[All]" dimensionUniqueName="[data 1]" displayFolder="" count="2" memberValueDatatype="130" unbalanced="0">
      <fieldsUsage count="2">
        <fieldUsage x="-1"/>
        <fieldUsage x="2"/>
      </fieldsUsage>
    </cacheHierarchy>
    <cacheHierarchy uniqueName="[data 1].[Date of Join]" caption="Date of Join" attribute="1" time="1" defaultMemberUniqueName="[data 1].[Date of Join].[All]" allUniqueName="[data 1].[Date of Join].[All]" dimensionUniqueName="[data 1]" displayFolder="" count="0" memberValueDatatype="7" unbalanced="0"/>
    <cacheHierarchy uniqueName="[data 1].[Job Title]" caption="Job Title" attribute="1" defaultMemberUniqueName="[data 1].[Job Title].[All]" allUniqueName="[data 1].[Job Title].[All]" dimensionUniqueName="[data 1]" displayFolder="" count="2" memberValueDatatype="130" unbalanced="0"/>
    <cacheHierarchy uniqueName="[data 1].[Salary]" caption="Salary" attribute="1" defaultMemberUniqueName="[data 1].[Salary].[All]" allUniqueName="[data 1].[Salary].[All]" dimensionUniqueName="[data 1]" displayFolder="" count="0" memberValueDatatype="20" unbalanced="0"/>
    <cacheHierarchy uniqueName="[data 1].[Age]" caption="Age" attribute="1" defaultMemberUniqueName="[data 1].[Age].[All]" allUniqueName="[data 1].[Age].[All]" dimensionUniqueName="[data 1]" displayFolder="" count="0" memberValueDatatype="5" unbalanced="0"/>
    <cacheHierarchy uniqueName="[data 1].[Leave Balance]" caption="Leave Balance" attribute="1" defaultMemberUniqueName="[data 1].[Leave Balance].[All]" allUniqueName="[data 1].[Leave Balance].[All]" dimensionUniqueName="[data 1]" displayFolder="" count="0" memberValueDatatype="20" unbalanced="0"/>
    <cacheHierarchy uniqueName="[data 1].[Years of Service]" caption="Years of Service" attribute="1" defaultMemberUniqueName="[data 1].[Years of Service].[All]" allUniqueName="[data 1].[Years of Service].[All]" dimensionUniqueName="[data 1]" displayFolder="" count="0" memberValueDatatype="5" unbalanced="0"/>
    <cacheHierarchy uniqueName="[data 1].[Age Group]" caption="Age Group" attribute="1" defaultMemberUniqueName="[data 1].[Age Group].[All]" allUniqueName="[data 1].[Age Group].[All]" dimensionUniqueName="[data 1]" displayFolder="" count="0" memberValueDatatype="130" unbalanced="0"/>
    <cacheHierarchy uniqueName="[data 1].[Salary Band]" caption="Salary Band" attribute="1" defaultMemberUniqueName="[data 1].[Salary Band].[All]" allUniqueName="[data 1].[Salary Band].[All]" dimensionUniqueName="[data 1]" displayFolder="" count="0" memberValueDatatype="130" unbalanced="0"/>
    <cacheHierarchy uniqueName="[data 1].[Join Year]" caption="Join Year" attribute="1" defaultMemberUniqueName="[data 1].[Join Year].[All]" allUniqueName="[data 1].[Join Year].[All]" dimensionUniqueName="[data 1]" displayFolder="" count="2" memberValueDatatype="20" unbalanced="0">
      <fieldsUsage count="2">
        <fieldUsage x="-1"/>
        <fieldUsage x="3"/>
      </fieldsUsage>
    </cacheHierarchy>
    <cacheHierarchy uniqueName="[data 1].[Join Month]" caption="Join Month" attribute="1" defaultMemberUniqueName="[data 1].[Join Month].[All]" allUniqueName="[data 1].[Join Month].[All]" dimensionUniqueName="[data 1]" displayFolder="" count="2" memberValueDatatype="130" unbalanced="0">
      <fieldsUsage count="2">
        <fieldUsage x="-1"/>
        <fieldUsage x="1"/>
      </fieldsUsage>
    </cacheHierarchy>
    <cacheHierarchy uniqueName="[data 1].[Quarter]" caption="Quarter" attribute="1" defaultMemberUniqueName="[data 1].[Quarter].[All]" allUniqueName="[data 1].[Quarter].[All]" dimensionUniqueName="[data 1]" displayFolder="" count="2"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Salary]" caption="Sum of Salary" measure="1" displayFolder="" measureGroup="data 1"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data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data 1" count="0" hidden="1">
      <extLst>
        <ext xmlns:x15="http://schemas.microsoft.com/office/spreadsheetml/2010/11/main" uri="{B97F6D7D-B522-45F9-BDA1-12C45D357490}">
          <x15:cacheHierarchy aggregatedColumn="21"/>
        </ext>
      </extLst>
    </cacheHierarchy>
    <cacheHierarchy uniqueName="[Measures].[Sum of Years of Service]" caption="Sum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Average of Years of Service]" caption="Average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Sum of Leave Balance]" caption="Sum of Leave Balance" measure="1" displayFolder="" measureGroup="data 1" count="0" hidden="1">
      <extLst>
        <ext xmlns:x15="http://schemas.microsoft.com/office/spreadsheetml/2010/11/main" uri="{B97F6D7D-B522-45F9-BDA1-12C45D357490}">
          <x15:cacheHierarchy aggregatedColumn="23"/>
        </ext>
      </extLst>
    </cacheHierarchy>
    <cacheHierarchy uniqueName="[Measures].[Average of Leave Balance]" caption="Average of Leave Balance" measure="1" displayFolder="" measureGroup="data 1" count="0" hidden="1">
      <extLst>
        <ext xmlns:x15="http://schemas.microsoft.com/office/spreadsheetml/2010/11/main" uri="{B97F6D7D-B522-45F9-BDA1-12C45D357490}">
          <x15:cacheHierarchy aggregatedColumn="23"/>
        </ext>
      </extLst>
    </cacheHierarchy>
    <cacheHierarchy uniqueName="[Measures].[Count of Emp ID]" caption="Count of Emp ID" measure="1" displayFolder="" measureGroup="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Join Year]" caption="Sum of Join Year" measure="1" displayFolder="" measureGroup="data 1" count="0" hidden="1">
      <extLst>
        <ext xmlns:x15="http://schemas.microsoft.com/office/spreadsheetml/2010/11/main" uri="{B97F6D7D-B522-45F9-BDA1-12C45D357490}">
          <x15:cacheHierarchy aggregatedColumn="27"/>
        </ext>
      </extLst>
    </cacheHierarchy>
    <cacheHierarchy uniqueName="[Measures].[Count of Join Month]" caption="Count of Join Month" measure="1" displayFolder="" measureGroup="data 1" count="0" hidden="1">
      <extLst>
        <ext xmlns:x15="http://schemas.microsoft.com/office/spreadsheetml/2010/11/main" uri="{B97F6D7D-B522-45F9-BDA1-12C45D357490}">
          <x15:cacheHierarchy aggregatedColumn="28"/>
        </ext>
      </extLst>
    </cacheHierarchy>
    <cacheHierarchy uniqueName="[Measures].[Count of Join Year]" caption="Count of Join Year" measure="1" displayFolder="" measureGroup="data 1" count="0" hidden="1">
      <extLst>
        <ext xmlns:x15="http://schemas.microsoft.com/office/spreadsheetml/2010/11/main" uri="{B97F6D7D-B522-45F9-BDA1-12C45D357490}">
          <x15:cacheHierarchy aggregatedColumn="27"/>
        </ext>
      </extLst>
    </cacheHierarchy>
    <cacheHierarchy uniqueName="[Measures].[Sum of Quarter]" caption="Sum of Quarter" measure="1" displayFolder="" measureGroup="data 1" count="0" hidden="1">
      <extLst>
        <ext xmlns:x15="http://schemas.microsoft.com/office/spreadsheetml/2010/11/main" uri="{B97F6D7D-B522-45F9-BDA1-12C45D357490}">
          <x15:cacheHierarchy aggregatedColumn="29"/>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adr" refreshedDate="46191.549926967593" backgroundQuery="1" createdVersion="8" refreshedVersion="8" minRefreshableVersion="3" recordCount="0" supportSubquery="1" supportAdvancedDrill="1" xr:uid="{8150CFDF-3A83-4A96-8FE7-32AD505D008A}">
  <cacheSource type="external" connectionId="3"/>
  <cacheFields count="2">
    <cacheField name="[Measures].[Sum of Salary]" caption="Sum of Salary" numFmtId="0" hierarchy="33" level="32767"/>
    <cacheField name="[data 1].[Join Year].[Join Year]" caption="Join Year" numFmtId="0" hierarchy="27" level="1">
      <sharedItems containsSemiMixedTypes="0" containsNonDate="0" containsString="0"/>
    </cacheField>
  </cacheFields>
  <cacheHierarchies count="45">
    <cacheHierarchy uniqueName="[data].[Emp ID]" caption="Emp ID" attribute="1" defaultMemberUniqueName="[data].[Emp ID].[All]" allUniqueName="[data].[Emp ID].[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Education Qualification]" caption="Education Qualification" attribute="1" defaultMemberUniqueName="[data].[Education Qualification].[All]" allUniqueName="[data].[Education Qualification].[All]" dimensionUniqueName="[data]" displayFolder="" count="0" memberValueDatatype="130" unbalanced="0"/>
    <cacheHierarchy uniqueName="[data].[Date of Join]" caption="Date of Join" attribute="1" time="1" defaultMemberUniqueName="[data].[Date of Join].[All]" allUniqueName="[data].[Date of Join].[All]" dimensionUniqueName="[data]" displayFolder="" count="0" memberValueDatatype="7" unbalanced="0"/>
    <cacheHierarchy uniqueName="[data].[Job Title]" caption="Job Title" attribute="1" defaultMemberUniqueName="[data].[Job Title].[All]" allUniqueName="[data].[Job Titl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Age]" caption="Age" attribute="1" defaultMemberUniqueName="[data].[Age].[All]" allUniqueName="[data].[Age].[All]" dimensionUniqueName="[data]" displayFolder="" count="0" memberValueDatatype="5" unbalanced="0"/>
    <cacheHierarchy uniqueName="[data].[Leave Balance]" caption="Leave Balance" attribute="1" defaultMemberUniqueName="[data].[Leave Balance].[All]" allUniqueName="[data].[Leave Balance].[All]" dimensionUniqueName="[data]" displayFolder="" count="0" memberValueDatatype="20" unbalanced="0"/>
    <cacheHierarchy uniqueName="[data].[Years of Service]" caption="Years of Service" attribute="1" defaultMemberUniqueName="[data].[Years of Service].[All]" allUniqueName="[data].[Years of Service].[All]" dimensionUniqueName="[data]" displayFolder="" count="0" memberValueDatatype="5" unbalanced="0"/>
    <cacheHierarchy uniqueName="[data].[Age Group]" caption="Age Group" attribute="1" defaultMemberUniqueName="[data].[Age Group].[All]" allUniqueName="[data].[Age Group].[All]" dimensionUniqueName="[data]" displayFolder="" count="0" memberValueDatatype="130" unbalanced="0"/>
    <cacheHierarchy uniqueName="[data].[Salary Band]" caption="Salary Band" attribute="1" defaultMemberUniqueName="[data].[Salary Band].[All]" allUniqueName="[data].[Salary Band].[All]" dimensionUniqueName="[data]" displayFolder="" count="0" memberValueDatatype="130" unbalanced="0"/>
    <cacheHierarchy uniqueName="[data].[Join Year]" caption="Join Year" attribute="1" defaultMemberUniqueName="[data].[Join Year].[All]" allUniqueName="[data].[Join Year].[All]" dimensionUniqueName="[data]" displayFolder="" count="0" memberValueDatatype="20" unbalanced="0"/>
    <cacheHierarchy uniqueName="[data].[Join Month]" caption="Join Month" attribute="1" defaultMemberUniqueName="[data].[Join Month].[All]" allUniqueName="[data].[Join Month].[All]" dimensionUniqueName="[data]" displayFolder="" count="0" memberValueDatatype="130" unbalanced="0"/>
    <cacheHierarchy uniqueName="[data].[Quarter]" caption="Quarter" attribute="1" defaultMemberUniqueName="[data].[Quarter].[All]" allUniqueName="[data].[Quarter].[All]" dimensionUniqueName="[data]" displayFolder="" count="0" memberValueDatatype="20" unbalanced="0"/>
    <cacheHierarchy uniqueName="[data 1].[Emp ID]" caption="Emp ID" attribute="1" defaultMemberUniqueName="[data 1].[Emp ID].[All]" allUniqueName="[data 1].[Emp ID].[All]" dimensionUniqueName="[data 1]" displayFolder="" count="0" memberValueDatatype="130" unbalanced="0"/>
    <cacheHierarchy uniqueName="[data 1].[Name]" caption="Name" attribute="1" defaultMemberUniqueName="[data 1].[Name].[All]" allUniqueName="[data 1].[Name].[All]" dimensionUniqueName="[data 1]" displayFolder="" count="0" memberValueDatatype="130" unbalanced="0"/>
    <cacheHierarchy uniqueName="[data 1].[Gender]" caption="Gender" attribute="1" defaultMemberUniqueName="[data 1].[Gender].[All]" allUniqueName="[data 1].[Gender].[All]" dimensionUniqueName="[data 1]" displayFolder="" count="0" memberValueDatatype="130" unbalanced="0"/>
    <cacheHierarchy uniqueName="[data 1].[Education Qualification]" caption="Education Qualification" attribute="1" defaultMemberUniqueName="[data 1].[Education Qualification].[All]" allUniqueName="[data 1].[Education Qualification].[All]" dimensionUniqueName="[data 1]" displayFolder="" count="2" memberValueDatatype="130" unbalanced="0"/>
    <cacheHierarchy uniqueName="[data 1].[Date of Join]" caption="Date of Join" attribute="1" time="1" defaultMemberUniqueName="[data 1].[Date of Join].[All]" allUniqueName="[data 1].[Date of Join].[All]" dimensionUniqueName="[data 1]" displayFolder="" count="0" memberValueDatatype="7" unbalanced="0"/>
    <cacheHierarchy uniqueName="[data 1].[Job Title]" caption="Job Title" attribute="1" defaultMemberUniqueName="[data 1].[Job Title].[All]" allUniqueName="[data 1].[Job Title].[All]" dimensionUniqueName="[data 1]" displayFolder="" count="2" memberValueDatatype="130" unbalanced="0"/>
    <cacheHierarchy uniqueName="[data 1].[Salary]" caption="Salary" attribute="1" defaultMemberUniqueName="[data 1].[Salary].[All]" allUniqueName="[data 1].[Salary].[All]" dimensionUniqueName="[data 1]" displayFolder="" count="0" memberValueDatatype="20" unbalanced="0"/>
    <cacheHierarchy uniqueName="[data 1].[Age]" caption="Age" attribute="1" defaultMemberUniqueName="[data 1].[Age].[All]" allUniqueName="[data 1].[Age].[All]" dimensionUniqueName="[data 1]" displayFolder="" count="0" memberValueDatatype="5" unbalanced="0"/>
    <cacheHierarchy uniqueName="[data 1].[Leave Balance]" caption="Leave Balance" attribute="1" defaultMemberUniqueName="[data 1].[Leave Balance].[All]" allUniqueName="[data 1].[Leave Balance].[All]" dimensionUniqueName="[data 1]" displayFolder="" count="0" memberValueDatatype="20" unbalanced="0"/>
    <cacheHierarchy uniqueName="[data 1].[Years of Service]" caption="Years of Service" attribute="1" defaultMemberUniqueName="[data 1].[Years of Service].[All]" allUniqueName="[data 1].[Years of Service].[All]" dimensionUniqueName="[data 1]" displayFolder="" count="0" memberValueDatatype="5" unbalanced="0"/>
    <cacheHierarchy uniqueName="[data 1].[Age Group]" caption="Age Group" attribute="1" defaultMemberUniqueName="[data 1].[Age Group].[All]" allUniqueName="[data 1].[Age Group].[All]" dimensionUniqueName="[data 1]" displayFolder="" count="0" memberValueDatatype="130" unbalanced="0"/>
    <cacheHierarchy uniqueName="[data 1].[Salary Band]" caption="Salary Band" attribute="1" defaultMemberUniqueName="[data 1].[Salary Band].[All]" allUniqueName="[data 1].[Salary Band].[All]" dimensionUniqueName="[data 1]" displayFolder="" count="0" memberValueDatatype="130" unbalanced="0"/>
    <cacheHierarchy uniqueName="[data 1].[Join Year]" caption="Join Year" attribute="1" defaultMemberUniqueName="[data 1].[Join Year].[All]" allUniqueName="[data 1].[Join Year].[All]" dimensionUniqueName="[data 1]" displayFolder="" count="2" memberValueDatatype="20" unbalanced="0">
      <fieldsUsage count="2">
        <fieldUsage x="-1"/>
        <fieldUsage x="1"/>
      </fieldsUsage>
    </cacheHierarchy>
    <cacheHierarchy uniqueName="[data 1].[Join Month]" caption="Join Month" attribute="1" defaultMemberUniqueName="[data 1].[Join Month].[All]" allUniqueName="[data 1].[Join Month].[All]" dimensionUniqueName="[data 1]" displayFolder="" count="0" memberValueDatatype="130" unbalanced="0"/>
    <cacheHierarchy uniqueName="[data 1].[Quarter]" caption="Quarter" attribute="1" defaultMemberUniqueName="[data 1].[Quarter].[All]" allUniqueName="[data 1].[Quarter].[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Salary]" caption="Sum of Salary" measure="1" displayFolder="" measureGroup="data 1"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Name]" caption="Count of Name" measure="1" displayFolder="" measureGroup="data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data 1" count="0" hidden="1">
      <extLst>
        <ext xmlns:x15="http://schemas.microsoft.com/office/spreadsheetml/2010/11/main" uri="{B97F6D7D-B522-45F9-BDA1-12C45D357490}">
          <x15:cacheHierarchy aggregatedColumn="21"/>
        </ext>
      </extLst>
    </cacheHierarchy>
    <cacheHierarchy uniqueName="[Measures].[Sum of Years of Service]" caption="Sum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Average of Years of Service]" caption="Average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Sum of Leave Balance]" caption="Sum of Leave Balance" measure="1" displayFolder="" measureGroup="data 1" count="0" hidden="1">
      <extLst>
        <ext xmlns:x15="http://schemas.microsoft.com/office/spreadsheetml/2010/11/main" uri="{B97F6D7D-B522-45F9-BDA1-12C45D357490}">
          <x15:cacheHierarchy aggregatedColumn="23"/>
        </ext>
      </extLst>
    </cacheHierarchy>
    <cacheHierarchy uniqueName="[Measures].[Average of Leave Balance]" caption="Average of Leave Balance" measure="1" displayFolder="" measureGroup="data 1" count="0" hidden="1">
      <extLst>
        <ext xmlns:x15="http://schemas.microsoft.com/office/spreadsheetml/2010/11/main" uri="{B97F6D7D-B522-45F9-BDA1-12C45D357490}">
          <x15:cacheHierarchy aggregatedColumn="23"/>
        </ext>
      </extLst>
    </cacheHierarchy>
    <cacheHierarchy uniqueName="[Measures].[Count of Emp ID]" caption="Count of Emp ID" measure="1" displayFolder="" measureGroup="data 1" count="0" hidden="1">
      <extLst>
        <ext xmlns:x15="http://schemas.microsoft.com/office/spreadsheetml/2010/11/main" uri="{B97F6D7D-B522-45F9-BDA1-12C45D357490}">
          <x15:cacheHierarchy aggregatedColumn="15"/>
        </ext>
      </extLst>
    </cacheHierarchy>
    <cacheHierarchy uniqueName="[Measures].[Sum of Join Year]" caption="Sum of Join Year" measure="1" displayFolder="" measureGroup="data 1" count="0" hidden="1">
      <extLst>
        <ext xmlns:x15="http://schemas.microsoft.com/office/spreadsheetml/2010/11/main" uri="{B97F6D7D-B522-45F9-BDA1-12C45D357490}">
          <x15:cacheHierarchy aggregatedColumn="27"/>
        </ext>
      </extLst>
    </cacheHierarchy>
    <cacheHierarchy uniqueName="[Measures].[Count of Join Month]" caption="Count of Join Month" measure="1" displayFolder="" measureGroup="data 1" count="0" hidden="1">
      <extLst>
        <ext xmlns:x15="http://schemas.microsoft.com/office/spreadsheetml/2010/11/main" uri="{B97F6D7D-B522-45F9-BDA1-12C45D357490}">
          <x15:cacheHierarchy aggregatedColumn="28"/>
        </ext>
      </extLst>
    </cacheHierarchy>
    <cacheHierarchy uniqueName="[Measures].[Count of Join Year]" caption="Count of Join Year" measure="1" displayFolder="" measureGroup="data 1" count="0" hidden="1">
      <extLst>
        <ext xmlns:x15="http://schemas.microsoft.com/office/spreadsheetml/2010/11/main" uri="{B97F6D7D-B522-45F9-BDA1-12C45D357490}">
          <x15:cacheHierarchy aggregatedColumn="27"/>
        </ext>
      </extLst>
    </cacheHierarchy>
    <cacheHierarchy uniqueName="[Measures].[Sum of Quarter]" caption="Sum of Quarter" measure="1" displayFolder="" measureGroup="data 1" count="0" hidden="1">
      <extLst>
        <ext xmlns:x15="http://schemas.microsoft.com/office/spreadsheetml/2010/11/main" uri="{B97F6D7D-B522-45F9-BDA1-12C45D357490}">
          <x15:cacheHierarchy aggregatedColumn="29"/>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adr" refreshedDate="46191.549927430555" backgroundQuery="1" createdVersion="8" refreshedVersion="8" minRefreshableVersion="3" recordCount="0" supportSubquery="1" supportAdvancedDrill="1" xr:uid="{9D2EF34D-9818-47D7-8F78-2A51E343F52D}">
  <cacheSource type="external" connectionId="3"/>
  <cacheFields count="3">
    <cacheField name="[Measures].[Count of Emp ID]" caption="Count of Emp ID" numFmtId="0" hierarchy="40" level="32767"/>
    <cacheField name="[data 1].[Age Group].[Age Group]" caption="Age Group" numFmtId="0" hierarchy="25" level="1">
      <sharedItems count="4">
        <s v="20-30"/>
        <s v="31-40"/>
        <s v="41-50"/>
        <s v="50+"/>
      </sharedItems>
    </cacheField>
    <cacheField name="[data 1].[Join Year].[Join Year]" caption="Join Year" numFmtId="0" hierarchy="27" level="1">
      <sharedItems containsSemiMixedTypes="0" containsNonDate="0" containsString="0"/>
    </cacheField>
  </cacheFields>
  <cacheHierarchies count="45">
    <cacheHierarchy uniqueName="[data].[Emp ID]" caption="Emp ID" attribute="1" defaultMemberUniqueName="[data].[Emp ID].[All]" allUniqueName="[data].[Emp ID].[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Education Qualification]" caption="Education Qualification" attribute="1" defaultMemberUniqueName="[data].[Education Qualification].[All]" allUniqueName="[data].[Education Qualification].[All]" dimensionUniqueName="[data]" displayFolder="" count="0" memberValueDatatype="130" unbalanced="0"/>
    <cacheHierarchy uniqueName="[data].[Date of Join]" caption="Date of Join" attribute="1" time="1" defaultMemberUniqueName="[data].[Date of Join].[All]" allUniqueName="[data].[Date of Join].[All]" dimensionUniqueName="[data]" displayFolder="" count="0" memberValueDatatype="7" unbalanced="0"/>
    <cacheHierarchy uniqueName="[data].[Job Title]" caption="Job Title" attribute="1" defaultMemberUniqueName="[data].[Job Title].[All]" allUniqueName="[data].[Job Titl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Age]" caption="Age" attribute="1" defaultMemberUniqueName="[data].[Age].[All]" allUniqueName="[data].[Age].[All]" dimensionUniqueName="[data]" displayFolder="" count="0" memberValueDatatype="5" unbalanced="0"/>
    <cacheHierarchy uniqueName="[data].[Leave Balance]" caption="Leave Balance" attribute="1" defaultMemberUniqueName="[data].[Leave Balance].[All]" allUniqueName="[data].[Leave Balance].[All]" dimensionUniqueName="[data]" displayFolder="" count="0" memberValueDatatype="20" unbalanced="0"/>
    <cacheHierarchy uniqueName="[data].[Years of Service]" caption="Years of Service" attribute="1" defaultMemberUniqueName="[data].[Years of Service].[All]" allUniqueName="[data].[Years of Service].[All]" dimensionUniqueName="[data]" displayFolder="" count="0" memberValueDatatype="5" unbalanced="0"/>
    <cacheHierarchy uniqueName="[data].[Age Group]" caption="Age Group" attribute="1" defaultMemberUniqueName="[data].[Age Group].[All]" allUniqueName="[data].[Age Group].[All]" dimensionUniqueName="[data]" displayFolder="" count="0" memberValueDatatype="130" unbalanced="0"/>
    <cacheHierarchy uniqueName="[data].[Salary Band]" caption="Salary Band" attribute="1" defaultMemberUniqueName="[data].[Salary Band].[All]" allUniqueName="[data].[Salary Band].[All]" dimensionUniqueName="[data]" displayFolder="" count="0" memberValueDatatype="130" unbalanced="0"/>
    <cacheHierarchy uniqueName="[data].[Join Year]" caption="Join Year" attribute="1" defaultMemberUniqueName="[data].[Join Year].[All]" allUniqueName="[data].[Join Year].[All]" dimensionUniqueName="[data]" displayFolder="" count="0" memberValueDatatype="20" unbalanced="0"/>
    <cacheHierarchy uniqueName="[data].[Join Month]" caption="Join Month" attribute="1" defaultMemberUniqueName="[data].[Join Month].[All]" allUniqueName="[data].[Join Month].[All]" dimensionUniqueName="[data]" displayFolder="" count="0" memberValueDatatype="130" unbalanced="0"/>
    <cacheHierarchy uniqueName="[data].[Quarter]" caption="Quarter" attribute="1" defaultMemberUniqueName="[data].[Quarter].[All]" allUniqueName="[data].[Quarter].[All]" dimensionUniqueName="[data]" displayFolder="" count="0" memberValueDatatype="20" unbalanced="0"/>
    <cacheHierarchy uniqueName="[data 1].[Emp ID]" caption="Emp ID" attribute="1" defaultMemberUniqueName="[data 1].[Emp ID].[All]" allUniqueName="[data 1].[Emp ID].[All]" dimensionUniqueName="[data 1]" displayFolder="" count="0" memberValueDatatype="130" unbalanced="0"/>
    <cacheHierarchy uniqueName="[data 1].[Name]" caption="Name" attribute="1" defaultMemberUniqueName="[data 1].[Name].[All]" allUniqueName="[data 1].[Name].[All]" dimensionUniqueName="[data 1]" displayFolder="" count="0" memberValueDatatype="130" unbalanced="0"/>
    <cacheHierarchy uniqueName="[data 1].[Gender]" caption="Gender" attribute="1" defaultMemberUniqueName="[data 1].[Gender].[All]" allUniqueName="[data 1].[Gender].[All]" dimensionUniqueName="[data 1]" displayFolder="" count="0" memberValueDatatype="130" unbalanced="0"/>
    <cacheHierarchy uniqueName="[data 1].[Education Qualification]" caption="Education Qualification" attribute="1" defaultMemberUniqueName="[data 1].[Education Qualification].[All]" allUniqueName="[data 1].[Education Qualification].[All]" dimensionUniqueName="[data 1]" displayFolder="" count="2" memberValueDatatype="130" unbalanced="0"/>
    <cacheHierarchy uniqueName="[data 1].[Date of Join]" caption="Date of Join" attribute="1" time="1" defaultMemberUniqueName="[data 1].[Date of Join].[All]" allUniqueName="[data 1].[Date of Join].[All]" dimensionUniqueName="[data 1]" displayFolder="" count="0" memberValueDatatype="7" unbalanced="0"/>
    <cacheHierarchy uniqueName="[data 1].[Job Title]" caption="Job Title" attribute="1" defaultMemberUniqueName="[data 1].[Job Title].[All]" allUniqueName="[data 1].[Job Title].[All]" dimensionUniqueName="[data 1]" displayFolder="" count="2" memberValueDatatype="130" unbalanced="0"/>
    <cacheHierarchy uniqueName="[data 1].[Salary]" caption="Salary" attribute="1" defaultMemberUniqueName="[data 1].[Salary].[All]" allUniqueName="[data 1].[Salary].[All]" dimensionUniqueName="[data 1]" displayFolder="" count="0" memberValueDatatype="20" unbalanced="0"/>
    <cacheHierarchy uniqueName="[data 1].[Age]" caption="Age" attribute="1" defaultMemberUniqueName="[data 1].[Age].[All]" allUniqueName="[data 1].[Age].[All]" dimensionUniqueName="[data 1]" displayFolder="" count="0" memberValueDatatype="5" unbalanced="0"/>
    <cacheHierarchy uniqueName="[data 1].[Leave Balance]" caption="Leave Balance" attribute="1" defaultMemberUniqueName="[data 1].[Leave Balance].[All]" allUniqueName="[data 1].[Leave Balance].[All]" dimensionUniqueName="[data 1]" displayFolder="" count="0" memberValueDatatype="20" unbalanced="0"/>
    <cacheHierarchy uniqueName="[data 1].[Years of Service]" caption="Years of Service" attribute="1" defaultMemberUniqueName="[data 1].[Years of Service].[All]" allUniqueName="[data 1].[Years of Service].[All]" dimensionUniqueName="[data 1]" displayFolder="" count="0" memberValueDatatype="5" unbalanced="0"/>
    <cacheHierarchy uniqueName="[data 1].[Age Group]" caption="Age Group" attribute="1" defaultMemberUniqueName="[data 1].[Age Group].[All]" allUniqueName="[data 1].[Age Group].[All]" dimensionUniqueName="[data 1]" displayFolder="" count="2" memberValueDatatype="130" unbalanced="0">
      <fieldsUsage count="2">
        <fieldUsage x="-1"/>
        <fieldUsage x="1"/>
      </fieldsUsage>
    </cacheHierarchy>
    <cacheHierarchy uniqueName="[data 1].[Salary Band]" caption="Salary Band" attribute="1" defaultMemberUniqueName="[data 1].[Salary Band].[All]" allUniqueName="[data 1].[Salary Band].[All]" dimensionUniqueName="[data 1]" displayFolder="" count="0" memberValueDatatype="130" unbalanced="0"/>
    <cacheHierarchy uniqueName="[data 1].[Join Year]" caption="Join Year" attribute="1" defaultMemberUniqueName="[data 1].[Join Year].[All]" allUniqueName="[data 1].[Join Year].[All]" dimensionUniqueName="[data 1]" displayFolder="" count="2" memberValueDatatype="20" unbalanced="0">
      <fieldsUsage count="2">
        <fieldUsage x="-1"/>
        <fieldUsage x="2"/>
      </fieldsUsage>
    </cacheHierarchy>
    <cacheHierarchy uniqueName="[data 1].[Join Month]" caption="Join Month" attribute="1" defaultMemberUniqueName="[data 1].[Join Month].[All]" allUniqueName="[data 1].[Join Month].[All]" dimensionUniqueName="[data 1]" displayFolder="" count="0" memberValueDatatype="130" unbalanced="0"/>
    <cacheHierarchy uniqueName="[data 1].[Quarter]" caption="Quarter" attribute="1" defaultMemberUniqueName="[data 1].[Quarter].[All]" allUniqueName="[data 1].[Quarter].[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Salary]" caption="Sum of Salary" measure="1" displayFolder="" measureGroup="data 1"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data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data 1" count="0" hidden="1">
      <extLst>
        <ext xmlns:x15="http://schemas.microsoft.com/office/spreadsheetml/2010/11/main" uri="{B97F6D7D-B522-45F9-BDA1-12C45D357490}">
          <x15:cacheHierarchy aggregatedColumn="21"/>
        </ext>
      </extLst>
    </cacheHierarchy>
    <cacheHierarchy uniqueName="[Measures].[Sum of Years of Service]" caption="Sum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Average of Years of Service]" caption="Average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Sum of Leave Balance]" caption="Sum of Leave Balance" measure="1" displayFolder="" measureGroup="data 1" count="0" hidden="1">
      <extLst>
        <ext xmlns:x15="http://schemas.microsoft.com/office/spreadsheetml/2010/11/main" uri="{B97F6D7D-B522-45F9-BDA1-12C45D357490}">
          <x15:cacheHierarchy aggregatedColumn="23"/>
        </ext>
      </extLst>
    </cacheHierarchy>
    <cacheHierarchy uniqueName="[Measures].[Average of Leave Balance]" caption="Average of Leave Balance" measure="1" displayFolder="" measureGroup="data 1" count="0" hidden="1">
      <extLst>
        <ext xmlns:x15="http://schemas.microsoft.com/office/spreadsheetml/2010/11/main" uri="{B97F6D7D-B522-45F9-BDA1-12C45D357490}">
          <x15:cacheHierarchy aggregatedColumn="23"/>
        </ext>
      </extLst>
    </cacheHierarchy>
    <cacheHierarchy uniqueName="[Measures].[Count of Emp ID]" caption="Count of Emp ID" measure="1" displayFolder="" measureGroup="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Join Year]" caption="Sum of Join Year" measure="1" displayFolder="" measureGroup="data 1" count="0" hidden="1">
      <extLst>
        <ext xmlns:x15="http://schemas.microsoft.com/office/spreadsheetml/2010/11/main" uri="{B97F6D7D-B522-45F9-BDA1-12C45D357490}">
          <x15:cacheHierarchy aggregatedColumn="27"/>
        </ext>
      </extLst>
    </cacheHierarchy>
    <cacheHierarchy uniqueName="[Measures].[Count of Join Month]" caption="Count of Join Month" measure="1" displayFolder="" measureGroup="data 1" count="0" hidden="1">
      <extLst>
        <ext xmlns:x15="http://schemas.microsoft.com/office/spreadsheetml/2010/11/main" uri="{B97F6D7D-B522-45F9-BDA1-12C45D357490}">
          <x15:cacheHierarchy aggregatedColumn="28"/>
        </ext>
      </extLst>
    </cacheHierarchy>
    <cacheHierarchy uniqueName="[Measures].[Count of Join Year]" caption="Count of Join Year" measure="1" displayFolder="" measureGroup="data 1" count="0" hidden="1">
      <extLst>
        <ext xmlns:x15="http://schemas.microsoft.com/office/spreadsheetml/2010/11/main" uri="{B97F6D7D-B522-45F9-BDA1-12C45D357490}">
          <x15:cacheHierarchy aggregatedColumn="27"/>
        </ext>
      </extLst>
    </cacheHierarchy>
    <cacheHierarchy uniqueName="[Measures].[Sum of Quarter]" caption="Sum of Quarter" measure="1" displayFolder="" measureGroup="data 1" count="0" hidden="1">
      <extLst>
        <ext xmlns:x15="http://schemas.microsoft.com/office/spreadsheetml/2010/11/main" uri="{B97F6D7D-B522-45F9-BDA1-12C45D357490}">
          <x15:cacheHierarchy aggregatedColumn="29"/>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adr" refreshedDate="46191.549927546293" backgroundQuery="1" createdVersion="8" refreshedVersion="8" minRefreshableVersion="3" recordCount="0" supportSubquery="1" supportAdvancedDrill="1" xr:uid="{51EFEFD7-AF90-418B-B01B-E16E4F5E52B3}">
  <cacheSource type="external" connectionId="3"/>
  <cacheFields count="2">
    <cacheField name="[Measures].[Count of Emp ID]" caption="Count of Emp ID" numFmtId="0" hierarchy="40" level="32767"/>
    <cacheField name="[data 1].[Join Year].[Join Year]" caption="Join Year" numFmtId="0" hierarchy="27" level="1">
      <sharedItems containsSemiMixedTypes="0" containsNonDate="0" containsString="0"/>
    </cacheField>
  </cacheFields>
  <cacheHierarchies count="45">
    <cacheHierarchy uniqueName="[data].[Emp ID]" caption="Emp ID" attribute="1" defaultMemberUniqueName="[data].[Emp ID].[All]" allUniqueName="[data].[Emp ID].[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Education Qualification]" caption="Education Qualification" attribute="1" defaultMemberUniqueName="[data].[Education Qualification].[All]" allUniqueName="[data].[Education Qualification].[All]" dimensionUniqueName="[data]" displayFolder="" count="0" memberValueDatatype="130" unbalanced="0"/>
    <cacheHierarchy uniqueName="[data].[Date of Join]" caption="Date of Join" attribute="1" time="1" defaultMemberUniqueName="[data].[Date of Join].[All]" allUniqueName="[data].[Date of Join].[All]" dimensionUniqueName="[data]" displayFolder="" count="0" memberValueDatatype="7" unbalanced="0"/>
    <cacheHierarchy uniqueName="[data].[Job Title]" caption="Job Title" attribute="1" defaultMemberUniqueName="[data].[Job Title].[All]" allUniqueName="[data].[Job Titl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Age]" caption="Age" attribute="1" defaultMemberUniqueName="[data].[Age].[All]" allUniqueName="[data].[Age].[All]" dimensionUniqueName="[data]" displayFolder="" count="0" memberValueDatatype="5" unbalanced="0"/>
    <cacheHierarchy uniqueName="[data].[Leave Balance]" caption="Leave Balance" attribute="1" defaultMemberUniqueName="[data].[Leave Balance].[All]" allUniqueName="[data].[Leave Balance].[All]" dimensionUniqueName="[data]" displayFolder="" count="0" memberValueDatatype="20" unbalanced="0"/>
    <cacheHierarchy uniqueName="[data].[Years of Service]" caption="Years of Service" attribute="1" defaultMemberUniqueName="[data].[Years of Service].[All]" allUniqueName="[data].[Years of Service].[All]" dimensionUniqueName="[data]" displayFolder="" count="0" memberValueDatatype="5" unbalanced="0"/>
    <cacheHierarchy uniqueName="[data].[Age Group]" caption="Age Group" attribute="1" defaultMemberUniqueName="[data].[Age Group].[All]" allUniqueName="[data].[Age Group].[All]" dimensionUniqueName="[data]" displayFolder="" count="0" memberValueDatatype="130" unbalanced="0"/>
    <cacheHierarchy uniqueName="[data].[Salary Band]" caption="Salary Band" attribute="1" defaultMemberUniqueName="[data].[Salary Band].[All]" allUniqueName="[data].[Salary Band].[All]" dimensionUniqueName="[data]" displayFolder="" count="0" memberValueDatatype="130" unbalanced="0"/>
    <cacheHierarchy uniqueName="[data].[Join Year]" caption="Join Year" attribute="1" defaultMemberUniqueName="[data].[Join Year].[All]" allUniqueName="[data].[Join Year].[All]" dimensionUniqueName="[data]" displayFolder="" count="0" memberValueDatatype="20" unbalanced="0"/>
    <cacheHierarchy uniqueName="[data].[Join Month]" caption="Join Month" attribute="1" defaultMemberUniqueName="[data].[Join Month].[All]" allUniqueName="[data].[Join Month].[All]" dimensionUniqueName="[data]" displayFolder="" count="0" memberValueDatatype="130" unbalanced="0"/>
    <cacheHierarchy uniqueName="[data].[Quarter]" caption="Quarter" attribute="1" defaultMemberUniqueName="[data].[Quarter].[All]" allUniqueName="[data].[Quarter].[All]" dimensionUniqueName="[data]" displayFolder="" count="0" memberValueDatatype="20" unbalanced="0"/>
    <cacheHierarchy uniqueName="[data 1].[Emp ID]" caption="Emp ID" attribute="1" defaultMemberUniqueName="[data 1].[Emp ID].[All]" allUniqueName="[data 1].[Emp ID].[All]" dimensionUniqueName="[data 1]" displayFolder="" count="0" memberValueDatatype="130" unbalanced="0"/>
    <cacheHierarchy uniqueName="[data 1].[Name]" caption="Name" attribute="1" defaultMemberUniqueName="[data 1].[Name].[All]" allUniqueName="[data 1].[Name].[All]" dimensionUniqueName="[data 1]" displayFolder="" count="0" memberValueDatatype="130" unbalanced="0"/>
    <cacheHierarchy uniqueName="[data 1].[Gender]" caption="Gender" attribute="1" defaultMemberUniqueName="[data 1].[Gender].[All]" allUniqueName="[data 1].[Gender].[All]" dimensionUniqueName="[data 1]" displayFolder="" count="0" memberValueDatatype="130" unbalanced="0"/>
    <cacheHierarchy uniqueName="[data 1].[Education Qualification]" caption="Education Qualification" attribute="1" defaultMemberUniqueName="[data 1].[Education Qualification].[All]" allUniqueName="[data 1].[Education Qualification].[All]" dimensionUniqueName="[data 1]" displayFolder="" count="2" memberValueDatatype="130" unbalanced="0"/>
    <cacheHierarchy uniqueName="[data 1].[Date of Join]" caption="Date of Join" attribute="1" time="1" defaultMemberUniqueName="[data 1].[Date of Join].[All]" allUniqueName="[data 1].[Date of Join].[All]" dimensionUniqueName="[data 1]" displayFolder="" count="0" memberValueDatatype="7" unbalanced="0"/>
    <cacheHierarchy uniqueName="[data 1].[Job Title]" caption="Job Title" attribute="1" defaultMemberUniqueName="[data 1].[Job Title].[All]" allUniqueName="[data 1].[Job Title].[All]" dimensionUniqueName="[data 1]" displayFolder="" count="2" memberValueDatatype="130" unbalanced="0"/>
    <cacheHierarchy uniqueName="[data 1].[Salary]" caption="Salary" attribute="1" defaultMemberUniqueName="[data 1].[Salary].[All]" allUniqueName="[data 1].[Salary].[All]" dimensionUniqueName="[data 1]" displayFolder="" count="0" memberValueDatatype="20" unbalanced="0"/>
    <cacheHierarchy uniqueName="[data 1].[Age]" caption="Age" attribute="1" defaultMemberUniqueName="[data 1].[Age].[All]" allUniqueName="[data 1].[Age].[All]" dimensionUniqueName="[data 1]" displayFolder="" count="0" memberValueDatatype="5" unbalanced="0"/>
    <cacheHierarchy uniqueName="[data 1].[Leave Balance]" caption="Leave Balance" attribute="1" defaultMemberUniqueName="[data 1].[Leave Balance].[All]" allUniqueName="[data 1].[Leave Balance].[All]" dimensionUniqueName="[data 1]" displayFolder="" count="0" memberValueDatatype="20" unbalanced="0"/>
    <cacheHierarchy uniqueName="[data 1].[Years of Service]" caption="Years of Service" attribute="1" defaultMemberUniqueName="[data 1].[Years of Service].[All]" allUniqueName="[data 1].[Years of Service].[All]" dimensionUniqueName="[data 1]" displayFolder="" count="0" memberValueDatatype="5" unbalanced="0"/>
    <cacheHierarchy uniqueName="[data 1].[Age Group]" caption="Age Group" attribute="1" defaultMemberUniqueName="[data 1].[Age Group].[All]" allUniqueName="[data 1].[Age Group].[All]" dimensionUniqueName="[data 1]" displayFolder="" count="0" memberValueDatatype="130" unbalanced="0"/>
    <cacheHierarchy uniqueName="[data 1].[Salary Band]" caption="Salary Band" attribute="1" defaultMemberUniqueName="[data 1].[Salary Band].[All]" allUniqueName="[data 1].[Salary Band].[All]" dimensionUniqueName="[data 1]" displayFolder="" count="0" memberValueDatatype="130" unbalanced="0"/>
    <cacheHierarchy uniqueName="[data 1].[Join Year]" caption="Join Year" attribute="1" defaultMemberUniqueName="[data 1].[Join Year].[All]" allUniqueName="[data 1].[Join Year].[All]" dimensionUniqueName="[data 1]" displayFolder="" count="2" memberValueDatatype="20" unbalanced="0">
      <fieldsUsage count="2">
        <fieldUsage x="-1"/>
        <fieldUsage x="1"/>
      </fieldsUsage>
    </cacheHierarchy>
    <cacheHierarchy uniqueName="[data 1].[Join Month]" caption="Join Month" attribute="1" defaultMemberUniqueName="[data 1].[Join Month].[All]" allUniqueName="[data 1].[Join Month].[All]" dimensionUniqueName="[data 1]" displayFolder="" count="0" memberValueDatatype="130" unbalanced="0"/>
    <cacheHierarchy uniqueName="[data 1].[Quarter]" caption="Quarter" attribute="1" defaultMemberUniqueName="[data 1].[Quarter].[All]" allUniqueName="[data 1].[Quarter].[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Salary]" caption="Sum of Salary" measure="1" displayFolder="" measureGroup="data 1"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data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data 1" count="0" hidden="1">
      <extLst>
        <ext xmlns:x15="http://schemas.microsoft.com/office/spreadsheetml/2010/11/main" uri="{B97F6D7D-B522-45F9-BDA1-12C45D357490}">
          <x15:cacheHierarchy aggregatedColumn="21"/>
        </ext>
      </extLst>
    </cacheHierarchy>
    <cacheHierarchy uniqueName="[Measures].[Sum of Years of Service]" caption="Sum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Average of Years of Service]" caption="Average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Sum of Leave Balance]" caption="Sum of Leave Balance" measure="1" displayFolder="" measureGroup="data 1" count="0" hidden="1">
      <extLst>
        <ext xmlns:x15="http://schemas.microsoft.com/office/spreadsheetml/2010/11/main" uri="{B97F6D7D-B522-45F9-BDA1-12C45D357490}">
          <x15:cacheHierarchy aggregatedColumn="23"/>
        </ext>
      </extLst>
    </cacheHierarchy>
    <cacheHierarchy uniqueName="[Measures].[Average of Leave Balance]" caption="Average of Leave Balance" measure="1" displayFolder="" measureGroup="data 1" count="0" hidden="1">
      <extLst>
        <ext xmlns:x15="http://schemas.microsoft.com/office/spreadsheetml/2010/11/main" uri="{B97F6D7D-B522-45F9-BDA1-12C45D357490}">
          <x15:cacheHierarchy aggregatedColumn="23"/>
        </ext>
      </extLst>
    </cacheHierarchy>
    <cacheHierarchy uniqueName="[Measures].[Count of Emp ID]" caption="Count of Emp ID" measure="1" displayFolder="" measureGroup="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Join Year]" caption="Sum of Join Year" measure="1" displayFolder="" measureGroup="data 1" count="0" hidden="1">
      <extLst>
        <ext xmlns:x15="http://schemas.microsoft.com/office/spreadsheetml/2010/11/main" uri="{B97F6D7D-B522-45F9-BDA1-12C45D357490}">
          <x15:cacheHierarchy aggregatedColumn="27"/>
        </ext>
      </extLst>
    </cacheHierarchy>
    <cacheHierarchy uniqueName="[Measures].[Count of Join Month]" caption="Count of Join Month" measure="1" displayFolder="" measureGroup="data 1" count="0" hidden="1">
      <extLst>
        <ext xmlns:x15="http://schemas.microsoft.com/office/spreadsheetml/2010/11/main" uri="{B97F6D7D-B522-45F9-BDA1-12C45D357490}">
          <x15:cacheHierarchy aggregatedColumn="28"/>
        </ext>
      </extLst>
    </cacheHierarchy>
    <cacheHierarchy uniqueName="[Measures].[Count of Join Year]" caption="Count of Join Year" measure="1" displayFolder="" measureGroup="data 1" count="0" hidden="1">
      <extLst>
        <ext xmlns:x15="http://schemas.microsoft.com/office/spreadsheetml/2010/11/main" uri="{B97F6D7D-B522-45F9-BDA1-12C45D357490}">
          <x15:cacheHierarchy aggregatedColumn="27"/>
        </ext>
      </extLst>
    </cacheHierarchy>
    <cacheHierarchy uniqueName="[Measures].[Sum of Quarter]" caption="Sum of Quarter" measure="1" displayFolder="" measureGroup="data 1" count="0" hidden="1">
      <extLst>
        <ext xmlns:x15="http://schemas.microsoft.com/office/spreadsheetml/2010/11/main" uri="{B97F6D7D-B522-45F9-BDA1-12C45D357490}">
          <x15:cacheHierarchy aggregatedColumn="29"/>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adr" refreshedDate="46191.549927777778" backgroundQuery="1" createdVersion="8" refreshedVersion="8" minRefreshableVersion="3" recordCount="0" supportSubquery="1" supportAdvancedDrill="1" xr:uid="{B83A036D-3213-4046-938F-A76ECA07F909}">
  <cacheSource type="external" connectionId="3"/>
  <cacheFields count="2">
    <cacheField name="[Measures].[Average of Salary]" caption="Average of Salary" numFmtId="0" hierarchy="35" level="32767"/>
    <cacheField name="[data 1].[Join Year].[Join Year]" caption="Join Year" numFmtId="0" hierarchy="27" level="1">
      <sharedItems containsSemiMixedTypes="0" containsNonDate="0" containsString="0"/>
    </cacheField>
  </cacheFields>
  <cacheHierarchies count="45">
    <cacheHierarchy uniqueName="[data].[Emp ID]" caption="Emp ID" attribute="1" defaultMemberUniqueName="[data].[Emp ID].[All]" allUniqueName="[data].[Emp ID].[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Education Qualification]" caption="Education Qualification" attribute="1" defaultMemberUniqueName="[data].[Education Qualification].[All]" allUniqueName="[data].[Education Qualification].[All]" dimensionUniqueName="[data]" displayFolder="" count="0" memberValueDatatype="130" unbalanced="0"/>
    <cacheHierarchy uniqueName="[data].[Date of Join]" caption="Date of Join" attribute="1" time="1" defaultMemberUniqueName="[data].[Date of Join].[All]" allUniqueName="[data].[Date of Join].[All]" dimensionUniqueName="[data]" displayFolder="" count="0" memberValueDatatype="7" unbalanced="0"/>
    <cacheHierarchy uniqueName="[data].[Job Title]" caption="Job Title" attribute="1" defaultMemberUniqueName="[data].[Job Title].[All]" allUniqueName="[data].[Job Titl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Age]" caption="Age" attribute="1" defaultMemberUniqueName="[data].[Age].[All]" allUniqueName="[data].[Age].[All]" dimensionUniqueName="[data]" displayFolder="" count="0" memberValueDatatype="5" unbalanced="0"/>
    <cacheHierarchy uniqueName="[data].[Leave Balance]" caption="Leave Balance" attribute="1" defaultMemberUniqueName="[data].[Leave Balance].[All]" allUniqueName="[data].[Leave Balance].[All]" dimensionUniqueName="[data]" displayFolder="" count="0" memberValueDatatype="20" unbalanced="0"/>
    <cacheHierarchy uniqueName="[data].[Years of Service]" caption="Years of Service" attribute="1" defaultMemberUniqueName="[data].[Years of Service].[All]" allUniqueName="[data].[Years of Service].[All]" dimensionUniqueName="[data]" displayFolder="" count="0" memberValueDatatype="5" unbalanced="0"/>
    <cacheHierarchy uniqueName="[data].[Age Group]" caption="Age Group" attribute="1" defaultMemberUniqueName="[data].[Age Group].[All]" allUniqueName="[data].[Age Group].[All]" dimensionUniqueName="[data]" displayFolder="" count="0" memberValueDatatype="130" unbalanced="0"/>
    <cacheHierarchy uniqueName="[data].[Salary Band]" caption="Salary Band" attribute="1" defaultMemberUniqueName="[data].[Salary Band].[All]" allUniqueName="[data].[Salary Band].[All]" dimensionUniqueName="[data]" displayFolder="" count="0" memberValueDatatype="130" unbalanced="0"/>
    <cacheHierarchy uniqueName="[data].[Join Year]" caption="Join Year" attribute="1" defaultMemberUniqueName="[data].[Join Year].[All]" allUniqueName="[data].[Join Year].[All]" dimensionUniqueName="[data]" displayFolder="" count="0" memberValueDatatype="20" unbalanced="0"/>
    <cacheHierarchy uniqueName="[data].[Join Month]" caption="Join Month" attribute="1" defaultMemberUniqueName="[data].[Join Month].[All]" allUniqueName="[data].[Join Month].[All]" dimensionUniqueName="[data]" displayFolder="" count="0" memberValueDatatype="130" unbalanced="0"/>
    <cacheHierarchy uniqueName="[data].[Quarter]" caption="Quarter" attribute="1" defaultMemberUniqueName="[data].[Quarter].[All]" allUniqueName="[data].[Quarter].[All]" dimensionUniqueName="[data]" displayFolder="" count="0" memberValueDatatype="20" unbalanced="0"/>
    <cacheHierarchy uniqueName="[data 1].[Emp ID]" caption="Emp ID" attribute="1" defaultMemberUniqueName="[data 1].[Emp ID].[All]" allUniqueName="[data 1].[Emp ID].[All]" dimensionUniqueName="[data 1]" displayFolder="" count="0" memberValueDatatype="130" unbalanced="0"/>
    <cacheHierarchy uniqueName="[data 1].[Name]" caption="Name" attribute="1" defaultMemberUniqueName="[data 1].[Name].[All]" allUniqueName="[data 1].[Name].[All]" dimensionUniqueName="[data 1]" displayFolder="" count="0" memberValueDatatype="130" unbalanced="0"/>
    <cacheHierarchy uniqueName="[data 1].[Gender]" caption="Gender" attribute="1" defaultMemberUniqueName="[data 1].[Gender].[All]" allUniqueName="[data 1].[Gender].[All]" dimensionUniqueName="[data 1]" displayFolder="" count="0" memberValueDatatype="130" unbalanced="0"/>
    <cacheHierarchy uniqueName="[data 1].[Education Qualification]" caption="Education Qualification" attribute="1" defaultMemberUniqueName="[data 1].[Education Qualification].[All]" allUniqueName="[data 1].[Education Qualification].[All]" dimensionUniqueName="[data 1]" displayFolder="" count="2" memberValueDatatype="130" unbalanced="0"/>
    <cacheHierarchy uniqueName="[data 1].[Date of Join]" caption="Date of Join" attribute="1" time="1" defaultMemberUniqueName="[data 1].[Date of Join].[All]" allUniqueName="[data 1].[Date of Join].[All]" dimensionUniqueName="[data 1]" displayFolder="" count="0" memberValueDatatype="7" unbalanced="0"/>
    <cacheHierarchy uniqueName="[data 1].[Job Title]" caption="Job Title" attribute="1" defaultMemberUniqueName="[data 1].[Job Title].[All]" allUniqueName="[data 1].[Job Title].[All]" dimensionUniqueName="[data 1]" displayFolder="" count="2" memberValueDatatype="130" unbalanced="0"/>
    <cacheHierarchy uniqueName="[data 1].[Salary]" caption="Salary" attribute="1" defaultMemberUniqueName="[data 1].[Salary].[All]" allUniqueName="[data 1].[Salary].[All]" dimensionUniqueName="[data 1]" displayFolder="" count="0" memberValueDatatype="20" unbalanced="0"/>
    <cacheHierarchy uniqueName="[data 1].[Age]" caption="Age" attribute="1" defaultMemberUniqueName="[data 1].[Age].[All]" allUniqueName="[data 1].[Age].[All]" dimensionUniqueName="[data 1]" displayFolder="" count="0" memberValueDatatype="5" unbalanced="0"/>
    <cacheHierarchy uniqueName="[data 1].[Leave Balance]" caption="Leave Balance" attribute="1" defaultMemberUniqueName="[data 1].[Leave Balance].[All]" allUniqueName="[data 1].[Leave Balance].[All]" dimensionUniqueName="[data 1]" displayFolder="" count="0" memberValueDatatype="20" unbalanced="0"/>
    <cacheHierarchy uniqueName="[data 1].[Years of Service]" caption="Years of Service" attribute="1" defaultMemberUniqueName="[data 1].[Years of Service].[All]" allUniqueName="[data 1].[Years of Service].[All]" dimensionUniqueName="[data 1]" displayFolder="" count="0" memberValueDatatype="5" unbalanced="0"/>
    <cacheHierarchy uniqueName="[data 1].[Age Group]" caption="Age Group" attribute="1" defaultMemberUniqueName="[data 1].[Age Group].[All]" allUniqueName="[data 1].[Age Group].[All]" dimensionUniqueName="[data 1]" displayFolder="" count="0" memberValueDatatype="130" unbalanced="0"/>
    <cacheHierarchy uniqueName="[data 1].[Salary Band]" caption="Salary Band" attribute="1" defaultMemberUniqueName="[data 1].[Salary Band].[All]" allUniqueName="[data 1].[Salary Band].[All]" dimensionUniqueName="[data 1]" displayFolder="" count="0" memberValueDatatype="130" unbalanced="0"/>
    <cacheHierarchy uniqueName="[data 1].[Join Year]" caption="Join Year" attribute="1" defaultMemberUniqueName="[data 1].[Join Year].[All]" allUniqueName="[data 1].[Join Year].[All]" dimensionUniqueName="[data 1]" displayFolder="" count="2" memberValueDatatype="20" unbalanced="0">
      <fieldsUsage count="2">
        <fieldUsage x="-1"/>
        <fieldUsage x="1"/>
      </fieldsUsage>
    </cacheHierarchy>
    <cacheHierarchy uniqueName="[data 1].[Join Month]" caption="Join Month" attribute="1" defaultMemberUniqueName="[data 1].[Join Month].[All]" allUniqueName="[data 1].[Join Month].[All]" dimensionUniqueName="[data 1]" displayFolder="" count="0" memberValueDatatype="130" unbalanced="0"/>
    <cacheHierarchy uniqueName="[data 1].[Quarter]" caption="Quarter" attribute="1" defaultMemberUniqueName="[data 1].[Quarter].[All]" allUniqueName="[data 1].[Quarter].[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Salary]" caption="Sum of Salary" measure="1" displayFolder="" measureGroup="data 1"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data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data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Years of Service]" caption="Sum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Average of Years of Service]" caption="Average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Sum of Leave Balance]" caption="Sum of Leave Balance" measure="1" displayFolder="" measureGroup="data 1" count="0" hidden="1">
      <extLst>
        <ext xmlns:x15="http://schemas.microsoft.com/office/spreadsheetml/2010/11/main" uri="{B97F6D7D-B522-45F9-BDA1-12C45D357490}">
          <x15:cacheHierarchy aggregatedColumn="23"/>
        </ext>
      </extLst>
    </cacheHierarchy>
    <cacheHierarchy uniqueName="[Measures].[Average of Leave Balance]" caption="Average of Leave Balance" measure="1" displayFolder="" measureGroup="data 1" count="0" hidden="1">
      <extLst>
        <ext xmlns:x15="http://schemas.microsoft.com/office/spreadsheetml/2010/11/main" uri="{B97F6D7D-B522-45F9-BDA1-12C45D357490}">
          <x15:cacheHierarchy aggregatedColumn="23"/>
        </ext>
      </extLst>
    </cacheHierarchy>
    <cacheHierarchy uniqueName="[Measures].[Count of Emp ID]" caption="Count of Emp ID" measure="1" displayFolder="" measureGroup="data 1" count="0" hidden="1">
      <extLst>
        <ext xmlns:x15="http://schemas.microsoft.com/office/spreadsheetml/2010/11/main" uri="{B97F6D7D-B522-45F9-BDA1-12C45D357490}">
          <x15:cacheHierarchy aggregatedColumn="15"/>
        </ext>
      </extLst>
    </cacheHierarchy>
    <cacheHierarchy uniqueName="[Measures].[Sum of Join Year]" caption="Sum of Join Year" measure="1" displayFolder="" measureGroup="data 1" count="0" hidden="1">
      <extLst>
        <ext xmlns:x15="http://schemas.microsoft.com/office/spreadsheetml/2010/11/main" uri="{B97F6D7D-B522-45F9-BDA1-12C45D357490}">
          <x15:cacheHierarchy aggregatedColumn="27"/>
        </ext>
      </extLst>
    </cacheHierarchy>
    <cacheHierarchy uniqueName="[Measures].[Count of Join Month]" caption="Count of Join Month" measure="1" displayFolder="" measureGroup="data 1" count="0" hidden="1">
      <extLst>
        <ext xmlns:x15="http://schemas.microsoft.com/office/spreadsheetml/2010/11/main" uri="{B97F6D7D-B522-45F9-BDA1-12C45D357490}">
          <x15:cacheHierarchy aggregatedColumn="28"/>
        </ext>
      </extLst>
    </cacheHierarchy>
    <cacheHierarchy uniqueName="[Measures].[Count of Join Year]" caption="Count of Join Year" measure="1" displayFolder="" measureGroup="data 1" count="0" hidden="1">
      <extLst>
        <ext xmlns:x15="http://schemas.microsoft.com/office/spreadsheetml/2010/11/main" uri="{B97F6D7D-B522-45F9-BDA1-12C45D357490}">
          <x15:cacheHierarchy aggregatedColumn="27"/>
        </ext>
      </extLst>
    </cacheHierarchy>
    <cacheHierarchy uniqueName="[Measures].[Sum of Quarter]" caption="Sum of Quarter" measure="1" displayFolder="" measureGroup="data 1" count="0" hidden="1">
      <extLst>
        <ext xmlns:x15="http://schemas.microsoft.com/office/spreadsheetml/2010/11/main" uri="{B97F6D7D-B522-45F9-BDA1-12C45D357490}">
          <x15:cacheHierarchy aggregatedColumn="29"/>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adr" refreshedDate="46191.549928009263" backgroundQuery="1" createdVersion="8" refreshedVersion="8" minRefreshableVersion="3" recordCount="0" supportSubquery="1" supportAdvancedDrill="1" xr:uid="{37FF7585-5FA7-40C8-BC0C-7DEC4395512E}">
  <cacheSource type="external" connectionId="3"/>
  <cacheFields count="2">
    <cacheField name="[Measures].[Average of Years of Service]" caption="Average of Years of Service" numFmtId="0" hierarchy="37" level="32767"/>
    <cacheField name="[data 1].[Join Year].[Join Year]" caption="Join Year" numFmtId="0" hierarchy="27" level="1">
      <sharedItems containsSemiMixedTypes="0" containsNonDate="0" containsString="0"/>
    </cacheField>
  </cacheFields>
  <cacheHierarchies count="45">
    <cacheHierarchy uniqueName="[data].[Emp ID]" caption="Emp ID" attribute="1" defaultMemberUniqueName="[data].[Emp ID].[All]" allUniqueName="[data].[Emp ID].[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Education Qualification]" caption="Education Qualification" attribute="1" defaultMemberUniqueName="[data].[Education Qualification].[All]" allUniqueName="[data].[Education Qualification].[All]" dimensionUniqueName="[data]" displayFolder="" count="0" memberValueDatatype="130" unbalanced="0"/>
    <cacheHierarchy uniqueName="[data].[Date of Join]" caption="Date of Join" attribute="1" time="1" defaultMemberUniqueName="[data].[Date of Join].[All]" allUniqueName="[data].[Date of Join].[All]" dimensionUniqueName="[data]" displayFolder="" count="0" memberValueDatatype="7" unbalanced="0"/>
    <cacheHierarchy uniqueName="[data].[Job Title]" caption="Job Title" attribute="1" defaultMemberUniqueName="[data].[Job Title].[All]" allUniqueName="[data].[Job Titl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Age]" caption="Age" attribute="1" defaultMemberUniqueName="[data].[Age].[All]" allUniqueName="[data].[Age].[All]" dimensionUniqueName="[data]" displayFolder="" count="0" memberValueDatatype="5" unbalanced="0"/>
    <cacheHierarchy uniqueName="[data].[Leave Balance]" caption="Leave Balance" attribute="1" defaultMemberUniqueName="[data].[Leave Balance].[All]" allUniqueName="[data].[Leave Balance].[All]" dimensionUniqueName="[data]" displayFolder="" count="0" memberValueDatatype="20" unbalanced="0"/>
    <cacheHierarchy uniqueName="[data].[Years of Service]" caption="Years of Service" attribute="1" defaultMemberUniqueName="[data].[Years of Service].[All]" allUniqueName="[data].[Years of Service].[All]" dimensionUniqueName="[data]" displayFolder="" count="0" memberValueDatatype="5" unbalanced="0"/>
    <cacheHierarchy uniqueName="[data].[Age Group]" caption="Age Group" attribute="1" defaultMemberUniqueName="[data].[Age Group].[All]" allUniqueName="[data].[Age Group].[All]" dimensionUniqueName="[data]" displayFolder="" count="0" memberValueDatatype="130" unbalanced="0"/>
    <cacheHierarchy uniqueName="[data].[Salary Band]" caption="Salary Band" attribute="1" defaultMemberUniqueName="[data].[Salary Band].[All]" allUniqueName="[data].[Salary Band].[All]" dimensionUniqueName="[data]" displayFolder="" count="0" memberValueDatatype="130" unbalanced="0"/>
    <cacheHierarchy uniqueName="[data].[Join Year]" caption="Join Year" attribute="1" defaultMemberUniqueName="[data].[Join Year].[All]" allUniqueName="[data].[Join Year].[All]" dimensionUniqueName="[data]" displayFolder="" count="0" memberValueDatatype="20" unbalanced="0"/>
    <cacheHierarchy uniqueName="[data].[Join Month]" caption="Join Month" attribute="1" defaultMemberUniqueName="[data].[Join Month].[All]" allUniqueName="[data].[Join Month].[All]" dimensionUniqueName="[data]" displayFolder="" count="0" memberValueDatatype="130" unbalanced="0"/>
    <cacheHierarchy uniqueName="[data].[Quarter]" caption="Quarter" attribute="1" defaultMemberUniqueName="[data].[Quarter].[All]" allUniqueName="[data].[Quarter].[All]" dimensionUniqueName="[data]" displayFolder="" count="0" memberValueDatatype="20" unbalanced="0"/>
    <cacheHierarchy uniqueName="[data 1].[Emp ID]" caption="Emp ID" attribute="1" defaultMemberUniqueName="[data 1].[Emp ID].[All]" allUniqueName="[data 1].[Emp ID].[All]" dimensionUniqueName="[data 1]" displayFolder="" count="0" memberValueDatatype="130" unbalanced="0"/>
    <cacheHierarchy uniqueName="[data 1].[Name]" caption="Name" attribute="1" defaultMemberUniqueName="[data 1].[Name].[All]" allUniqueName="[data 1].[Name].[All]" dimensionUniqueName="[data 1]" displayFolder="" count="0" memberValueDatatype="130" unbalanced="0"/>
    <cacheHierarchy uniqueName="[data 1].[Gender]" caption="Gender" attribute="1" defaultMemberUniqueName="[data 1].[Gender].[All]" allUniqueName="[data 1].[Gender].[All]" dimensionUniqueName="[data 1]" displayFolder="" count="0" memberValueDatatype="130" unbalanced="0"/>
    <cacheHierarchy uniqueName="[data 1].[Education Qualification]" caption="Education Qualification" attribute="1" defaultMemberUniqueName="[data 1].[Education Qualification].[All]" allUniqueName="[data 1].[Education Qualification].[All]" dimensionUniqueName="[data 1]" displayFolder="" count="2" memberValueDatatype="130" unbalanced="0"/>
    <cacheHierarchy uniqueName="[data 1].[Date of Join]" caption="Date of Join" attribute="1" time="1" defaultMemberUniqueName="[data 1].[Date of Join].[All]" allUniqueName="[data 1].[Date of Join].[All]" dimensionUniqueName="[data 1]" displayFolder="" count="0" memberValueDatatype="7" unbalanced="0"/>
    <cacheHierarchy uniqueName="[data 1].[Job Title]" caption="Job Title" attribute="1" defaultMemberUniqueName="[data 1].[Job Title].[All]" allUniqueName="[data 1].[Job Title].[All]" dimensionUniqueName="[data 1]" displayFolder="" count="2" memberValueDatatype="130" unbalanced="0"/>
    <cacheHierarchy uniqueName="[data 1].[Salary]" caption="Salary" attribute="1" defaultMemberUniqueName="[data 1].[Salary].[All]" allUniqueName="[data 1].[Salary].[All]" dimensionUniqueName="[data 1]" displayFolder="" count="0" memberValueDatatype="20" unbalanced="0"/>
    <cacheHierarchy uniqueName="[data 1].[Age]" caption="Age" attribute="1" defaultMemberUniqueName="[data 1].[Age].[All]" allUniqueName="[data 1].[Age].[All]" dimensionUniqueName="[data 1]" displayFolder="" count="0" memberValueDatatype="5" unbalanced="0"/>
    <cacheHierarchy uniqueName="[data 1].[Leave Balance]" caption="Leave Balance" attribute="1" defaultMemberUniqueName="[data 1].[Leave Balance].[All]" allUniqueName="[data 1].[Leave Balance].[All]" dimensionUniqueName="[data 1]" displayFolder="" count="0" memberValueDatatype="20" unbalanced="0"/>
    <cacheHierarchy uniqueName="[data 1].[Years of Service]" caption="Years of Service" attribute="1" defaultMemberUniqueName="[data 1].[Years of Service].[All]" allUniqueName="[data 1].[Years of Service].[All]" dimensionUniqueName="[data 1]" displayFolder="" count="0" memberValueDatatype="5" unbalanced="0"/>
    <cacheHierarchy uniqueName="[data 1].[Age Group]" caption="Age Group" attribute="1" defaultMemberUniqueName="[data 1].[Age Group].[All]" allUniqueName="[data 1].[Age Group].[All]" dimensionUniqueName="[data 1]" displayFolder="" count="0" memberValueDatatype="130" unbalanced="0"/>
    <cacheHierarchy uniqueName="[data 1].[Salary Band]" caption="Salary Band" attribute="1" defaultMemberUniqueName="[data 1].[Salary Band].[All]" allUniqueName="[data 1].[Salary Band].[All]" dimensionUniqueName="[data 1]" displayFolder="" count="0" memberValueDatatype="130" unbalanced="0"/>
    <cacheHierarchy uniqueName="[data 1].[Join Year]" caption="Join Year" attribute="1" defaultMemberUniqueName="[data 1].[Join Year].[All]" allUniqueName="[data 1].[Join Year].[All]" dimensionUniqueName="[data 1]" displayFolder="" count="2" memberValueDatatype="20" unbalanced="0">
      <fieldsUsage count="2">
        <fieldUsage x="-1"/>
        <fieldUsage x="1"/>
      </fieldsUsage>
    </cacheHierarchy>
    <cacheHierarchy uniqueName="[data 1].[Join Month]" caption="Join Month" attribute="1" defaultMemberUniqueName="[data 1].[Join Month].[All]" allUniqueName="[data 1].[Join Month].[All]" dimensionUniqueName="[data 1]" displayFolder="" count="0" memberValueDatatype="130" unbalanced="0"/>
    <cacheHierarchy uniqueName="[data 1].[Quarter]" caption="Quarter" attribute="1" defaultMemberUniqueName="[data 1].[Quarter].[All]" allUniqueName="[data 1].[Quarter].[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Salary]" caption="Sum of Salary" measure="1" displayFolder="" measureGroup="data 1"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data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data 1" count="0" hidden="1">
      <extLst>
        <ext xmlns:x15="http://schemas.microsoft.com/office/spreadsheetml/2010/11/main" uri="{B97F6D7D-B522-45F9-BDA1-12C45D357490}">
          <x15:cacheHierarchy aggregatedColumn="21"/>
        </ext>
      </extLst>
    </cacheHierarchy>
    <cacheHierarchy uniqueName="[Measures].[Sum of Years of Service]" caption="Sum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Average of Years of Service]" caption="Average of Years of Service" measure="1" displayFolder="" measureGroup="data 1"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Leave Balance]" caption="Sum of Leave Balance" measure="1" displayFolder="" measureGroup="data 1" count="0" hidden="1">
      <extLst>
        <ext xmlns:x15="http://schemas.microsoft.com/office/spreadsheetml/2010/11/main" uri="{B97F6D7D-B522-45F9-BDA1-12C45D357490}">
          <x15:cacheHierarchy aggregatedColumn="23"/>
        </ext>
      </extLst>
    </cacheHierarchy>
    <cacheHierarchy uniqueName="[Measures].[Average of Leave Balance]" caption="Average of Leave Balance" measure="1" displayFolder="" measureGroup="data 1" count="0" hidden="1">
      <extLst>
        <ext xmlns:x15="http://schemas.microsoft.com/office/spreadsheetml/2010/11/main" uri="{B97F6D7D-B522-45F9-BDA1-12C45D357490}">
          <x15:cacheHierarchy aggregatedColumn="23"/>
        </ext>
      </extLst>
    </cacheHierarchy>
    <cacheHierarchy uniqueName="[Measures].[Count of Emp ID]" caption="Count of Emp ID" measure="1" displayFolder="" measureGroup="data 1" count="0" hidden="1">
      <extLst>
        <ext xmlns:x15="http://schemas.microsoft.com/office/spreadsheetml/2010/11/main" uri="{B97F6D7D-B522-45F9-BDA1-12C45D357490}">
          <x15:cacheHierarchy aggregatedColumn="15"/>
        </ext>
      </extLst>
    </cacheHierarchy>
    <cacheHierarchy uniqueName="[Measures].[Sum of Join Year]" caption="Sum of Join Year" measure="1" displayFolder="" measureGroup="data 1" count="0" hidden="1">
      <extLst>
        <ext xmlns:x15="http://schemas.microsoft.com/office/spreadsheetml/2010/11/main" uri="{B97F6D7D-B522-45F9-BDA1-12C45D357490}">
          <x15:cacheHierarchy aggregatedColumn="27"/>
        </ext>
      </extLst>
    </cacheHierarchy>
    <cacheHierarchy uniqueName="[Measures].[Count of Join Month]" caption="Count of Join Month" measure="1" displayFolder="" measureGroup="data 1" count="0" hidden="1">
      <extLst>
        <ext xmlns:x15="http://schemas.microsoft.com/office/spreadsheetml/2010/11/main" uri="{B97F6D7D-B522-45F9-BDA1-12C45D357490}">
          <x15:cacheHierarchy aggregatedColumn="28"/>
        </ext>
      </extLst>
    </cacheHierarchy>
    <cacheHierarchy uniqueName="[Measures].[Count of Join Year]" caption="Count of Join Year" measure="1" displayFolder="" measureGroup="data 1" count="0" hidden="1">
      <extLst>
        <ext xmlns:x15="http://schemas.microsoft.com/office/spreadsheetml/2010/11/main" uri="{B97F6D7D-B522-45F9-BDA1-12C45D357490}">
          <x15:cacheHierarchy aggregatedColumn="27"/>
        </ext>
      </extLst>
    </cacheHierarchy>
    <cacheHierarchy uniqueName="[Measures].[Sum of Quarter]" caption="Sum of Quarter" measure="1" displayFolder="" measureGroup="data 1" count="0" hidden="1">
      <extLst>
        <ext xmlns:x15="http://schemas.microsoft.com/office/spreadsheetml/2010/11/main" uri="{B97F6D7D-B522-45F9-BDA1-12C45D357490}">
          <x15:cacheHierarchy aggregatedColumn="29"/>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adr" refreshedDate="46191.549928125001" backgroundQuery="1" createdVersion="8" refreshedVersion="8" minRefreshableVersion="3" recordCount="0" supportSubquery="1" supportAdvancedDrill="1" xr:uid="{7C76263B-69C1-47F7-A609-537B3EB36C67}">
  <cacheSource type="external" connectionId="3"/>
  <cacheFields count="2">
    <cacheField name="[Measures].[Average of Leave Balance]" caption="Average of Leave Balance" numFmtId="0" hierarchy="39" level="32767"/>
    <cacheField name="[data 1].[Join Year].[Join Year]" caption="Join Year" numFmtId="0" hierarchy="27" level="1">
      <sharedItems containsSemiMixedTypes="0" containsNonDate="0" containsString="0"/>
    </cacheField>
  </cacheFields>
  <cacheHierarchies count="45">
    <cacheHierarchy uniqueName="[data].[Emp ID]" caption="Emp ID" attribute="1" defaultMemberUniqueName="[data].[Emp ID].[All]" allUniqueName="[data].[Emp ID].[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Education Qualification]" caption="Education Qualification" attribute="1" defaultMemberUniqueName="[data].[Education Qualification].[All]" allUniqueName="[data].[Education Qualification].[All]" dimensionUniqueName="[data]" displayFolder="" count="0" memberValueDatatype="130" unbalanced="0"/>
    <cacheHierarchy uniqueName="[data].[Date of Join]" caption="Date of Join" attribute="1" time="1" defaultMemberUniqueName="[data].[Date of Join].[All]" allUniqueName="[data].[Date of Join].[All]" dimensionUniqueName="[data]" displayFolder="" count="0" memberValueDatatype="7" unbalanced="0"/>
    <cacheHierarchy uniqueName="[data].[Job Title]" caption="Job Title" attribute="1" defaultMemberUniqueName="[data].[Job Title].[All]" allUniqueName="[data].[Job Titl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Age]" caption="Age" attribute="1" defaultMemberUniqueName="[data].[Age].[All]" allUniqueName="[data].[Age].[All]" dimensionUniqueName="[data]" displayFolder="" count="0" memberValueDatatype="5" unbalanced="0"/>
    <cacheHierarchy uniqueName="[data].[Leave Balance]" caption="Leave Balance" attribute="1" defaultMemberUniqueName="[data].[Leave Balance].[All]" allUniqueName="[data].[Leave Balance].[All]" dimensionUniqueName="[data]" displayFolder="" count="0" memberValueDatatype="20" unbalanced="0"/>
    <cacheHierarchy uniqueName="[data].[Years of Service]" caption="Years of Service" attribute="1" defaultMemberUniqueName="[data].[Years of Service].[All]" allUniqueName="[data].[Years of Service].[All]" dimensionUniqueName="[data]" displayFolder="" count="0" memberValueDatatype="5" unbalanced="0"/>
    <cacheHierarchy uniqueName="[data].[Age Group]" caption="Age Group" attribute="1" defaultMemberUniqueName="[data].[Age Group].[All]" allUniqueName="[data].[Age Group].[All]" dimensionUniqueName="[data]" displayFolder="" count="0" memberValueDatatype="130" unbalanced="0"/>
    <cacheHierarchy uniqueName="[data].[Salary Band]" caption="Salary Band" attribute="1" defaultMemberUniqueName="[data].[Salary Band].[All]" allUniqueName="[data].[Salary Band].[All]" dimensionUniqueName="[data]" displayFolder="" count="0" memberValueDatatype="130" unbalanced="0"/>
    <cacheHierarchy uniqueName="[data].[Join Year]" caption="Join Year" attribute="1" defaultMemberUniqueName="[data].[Join Year].[All]" allUniqueName="[data].[Join Year].[All]" dimensionUniqueName="[data]" displayFolder="" count="0" memberValueDatatype="20" unbalanced="0"/>
    <cacheHierarchy uniqueName="[data].[Join Month]" caption="Join Month" attribute="1" defaultMemberUniqueName="[data].[Join Month].[All]" allUniqueName="[data].[Join Month].[All]" dimensionUniqueName="[data]" displayFolder="" count="0" memberValueDatatype="130" unbalanced="0"/>
    <cacheHierarchy uniqueName="[data].[Quarter]" caption="Quarter" attribute="1" defaultMemberUniqueName="[data].[Quarter].[All]" allUniqueName="[data].[Quarter].[All]" dimensionUniqueName="[data]" displayFolder="" count="0" memberValueDatatype="20" unbalanced="0"/>
    <cacheHierarchy uniqueName="[data 1].[Emp ID]" caption="Emp ID" attribute="1" defaultMemberUniqueName="[data 1].[Emp ID].[All]" allUniqueName="[data 1].[Emp ID].[All]" dimensionUniqueName="[data 1]" displayFolder="" count="0" memberValueDatatype="130" unbalanced="0"/>
    <cacheHierarchy uniqueName="[data 1].[Name]" caption="Name" attribute="1" defaultMemberUniqueName="[data 1].[Name].[All]" allUniqueName="[data 1].[Name].[All]" dimensionUniqueName="[data 1]" displayFolder="" count="0" memberValueDatatype="130" unbalanced="0"/>
    <cacheHierarchy uniqueName="[data 1].[Gender]" caption="Gender" attribute="1" defaultMemberUniqueName="[data 1].[Gender].[All]" allUniqueName="[data 1].[Gender].[All]" dimensionUniqueName="[data 1]" displayFolder="" count="0" memberValueDatatype="130" unbalanced="0"/>
    <cacheHierarchy uniqueName="[data 1].[Education Qualification]" caption="Education Qualification" attribute="1" defaultMemberUniqueName="[data 1].[Education Qualification].[All]" allUniqueName="[data 1].[Education Qualification].[All]" dimensionUniqueName="[data 1]" displayFolder="" count="2" memberValueDatatype="130" unbalanced="0"/>
    <cacheHierarchy uniqueName="[data 1].[Date of Join]" caption="Date of Join" attribute="1" time="1" defaultMemberUniqueName="[data 1].[Date of Join].[All]" allUniqueName="[data 1].[Date of Join].[All]" dimensionUniqueName="[data 1]" displayFolder="" count="0" memberValueDatatype="7" unbalanced="0"/>
    <cacheHierarchy uniqueName="[data 1].[Job Title]" caption="Job Title" attribute="1" defaultMemberUniqueName="[data 1].[Job Title].[All]" allUniqueName="[data 1].[Job Title].[All]" dimensionUniqueName="[data 1]" displayFolder="" count="2" memberValueDatatype="130" unbalanced="0"/>
    <cacheHierarchy uniqueName="[data 1].[Salary]" caption="Salary" attribute="1" defaultMemberUniqueName="[data 1].[Salary].[All]" allUniqueName="[data 1].[Salary].[All]" dimensionUniqueName="[data 1]" displayFolder="" count="0" memberValueDatatype="20" unbalanced="0"/>
    <cacheHierarchy uniqueName="[data 1].[Age]" caption="Age" attribute="1" defaultMemberUniqueName="[data 1].[Age].[All]" allUniqueName="[data 1].[Age].[All]" dimensionUniqueName="[data 1]" displayFolder="" count="0" memberValueDatatype="5" unbalanced="0"/>
    <cacheHierarchy uniqueName="[data 1].[Leave Balance]" caption="Leave Balance" attribute="1" defaultMemberUniqueName="[data 1].[Leave Balance].[All]" allUniqueName="[data 1].[Leave Balance].[All]" dimensionUniqueName="[data 1]" displayFolder="" count="0" memberValueDatatype="20" unbalanced="0"/>
    <cacheHierarchy uniqueName="[data 1].[Years of Service]" caption="Years of Service" attribute="1" defaultMemberUniqueName="[data 1].[Years of Service].[All]" allUniqueName="[data 1].[Years of Service].[All]" dimensionUniqueName="[data 1]" displayFolder="" count="0" memberValueDatatype="5" unbalanced="0"/>
    <cacheHierarchy uniqueName="[data 1].[Age Group]" caption="Age Group" attribute="1" defaultMemberUniqueName="[data 1].[Age Group].[All]" allUniqueName="[data 1].[Age Group].[All]" dimensionUniqueName="[data 1]" displayFolder="" count="0" memberValueDatatype="130" unbalanced="0"/>
    <cacheHierarchy uniqueName="[data 1].[Salary Band]" caption="Salary Band" attribute="1" defaultMemberUniqueName="[data 1].[Salary Band].[All]" allUniqueName="[data 1].[Salary Band].[All]" dimensionUniqueName="[data 1]" displayFolder="" count="0" memberValueDatatype="130" unbalanced="0"/>
    <cacheHierarchy uniqueName="[data 1].[Join Year]" caption="Join Year" attribute="1" defaultMemberUniqueName="[data 1].[Join Year].[All]" allUniqueName="[data 1].[Join Year].[All]" dimensionUniqueName="[data 1]" displayFolder="" count="2" memberValueDatatype="20" unbalanced="0">
      <fieldsUsage count="2">
        <fieldUsage x="-1"/>
        <fieldUsage x="1"/>
      </fieldsUsage>
    </cacheHierarchy>
    <cacheHierarchy uniqueName="[data 1].[Join Month]" caption="Join Month" attribute="1" defaultMemberUniqueName="[data 1].[Join Month].[All]" allUniqueName="[data 1].[Join Month].[All]" dimensionUniqueName="[data 1]" displayFolder="" count="0" memberValueDatatype="130" unbalanced="0"/>
    <cacheHierarchy uniqueName="[data 1].[Quarter]" caption="Quarter" attribute="1" defaultMemberUniqueName="[data 1].[Quarter].[All]" allUniqueName="[data 1].[Quarter].[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Salary]" caption="Sum of Salary" measure="1" displayFolder="" measureGroup="data 1"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data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data 1" count="0" hidden="1">
      <extLst>
        <ext xmlns:x15="http://schemas.microsoft.com/office/spreadsheetml/2010/11/main" uri="{B97F6D7D-B522-45F9-BDA1-12C45D357490}">
          <x15:cacheHierarchy aggregatedColumn="21"/>
        </ext>
      </extLst>
    </cacheHierarchy>
    <cacheHierarchy uniqueName="[Measures].[Sum of Years of Service]" caption="Sum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Average of Years of Service]" caption="Average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Sum of Leave Balance]" caption="Sum of Leave Balance" measure="1" displayFolder="" measureGroup="data 1" count="0" hidden="1">
      <extLst>
        <ext xmlns:x15="http://schemas.microsoft.com/office/spreadsheetml/2010/11/main" uri="{B97F6D7D-B522-45F9-BDA1-12C45D357490}">
          <x15:cacheHierarchy aggregatedColumn="23"/>
        </ext>
      </extLst>
    </cacheHierarchy>
    <cacheHierarchy uniqueName="[Measures].[Average of Leave Balance]" caption="Average of Leave Balance" measure="1" displayFolder="" measureGroup="data 1"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Emp ID]" caption="Count of Emp ID" measure="1" displayFolder="" measureGroup="data 1" count="0" hidden="1">
      <extLst>
        <ext xmlns:x15="http://schemas.microsoft.com/office/spreadsheetml/2010/11/main" uri="{B97F6D7D-B522-45F9-BDA1-12C45D357490}">
          <x15:cacheHierarchy aggregatedColumn="15"/>
        </ext>
      </extLst>
    </cacheHierarchy>
    <cacheHierarchy uniqueName="[Measures].[Sum of Join Year]" caption="Sum of Join Year" measure="1" displayFolder="" measureGroup="data 1" count="0" hidden="1">
      <extLst>
        <ext xmlns:x15="http://schemas.microsoft.com/office/spreadsheetml/2010/11/main" uri="{B97F6D7D-B522-45F9-BDA1-12C45D357490}">
          <x15:cacheHierarchy aggregatedColumn="27"/>
        </ext>
      </extLst>
    </cacheHierarchy>
    <cacheHierarchy uniqueName="[Measures].[Count of Join Month]" caption="Count of Join Month" measure="1" displayFolder="" measureGroup="data 1" count="0" hidden="1">
      <extLst>
        <ext xmlns:x15="http://schemas.microsoft.com/office/spreadsheetml/2010/11/main" uri="{B97F6D7D-B522-45F9-BDA1-12C45D357490}">
          <x15:cacheHierarchy aggregatedColumn="28"/>
        </ext>
      </extLst>
    </cacheHierarchy>
    <cacheHierarchy uniqueName="[Measures].[Count of Join Year]" caption="Count of Join Year" measure="1" displayFolder="" measureGroup="data 1" count="0" hidden="1">
      <extLst>
        <ext xmlns:x15="http://schemas.microsoft.com/office/spreadsheetml/2010/11/main" uri="{B97F6D7D-B522-45F9-BDA1-12C45D357490}">
          <x15:cacheHierarchy aggregatedColumn="27"/>
        </ext>
      </extLst>
    </cacheHierarchy>
    <cacheHierarchy uniqueName="[Measures].[Sum of Quarter]" caption="Sum of Quarter" measure="1" displayFolder="" measureGroup="data 1" count="0" hidden="1">
      <extLst>
        <ext xmlns:x15="http://schemas.microsoft.com/office/spreadsheetml/2010/11/main" uri="{B97F6D7D-B522-45F9-BDA1-12C45D357490}">
          <x15:cacheHierarchy aggregatedColumn="29"/>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adr" refreshedDate="46191.549928587963" backgroundQuery="1" createdVersion="8" refreshedVersion="8" minRefreshableVersion="3" recordCount="0" supportSubquery="1" supportAdvancedDrill="1" xr:uid="{48C04087-E132-44E9-955E-B8080E9DC34B}">
  <cacheSource type="external" connectionId="3"/>
  <cacheFields count="3">
    <cacheField name="[data 1].[Job Title].[Job Title]" caption="Job Title" numFmtId="0" hierarchy="20" level="1">
      <sharedItems count="10">
        <s v="Chocolatier"/>
        <s v="Marketing Manager"/>
        <s v="Marketing Specialist"/>
        <s v="Packaging Associate"/>
        <s v="Product Manager"/>
        <s v="Production Operator"/>
        <s v="Quality Control"/>
        <s v="Research Analyst"/>
        <s v="Research Scientist"/>
        <s v="Sales Representative"/>
      </sharedItems>
    </cacheField>
    <cacheField name="[Measures].[Count of Emp ID]" caption="Count of Emp ID" numFmtId="0" hierarchy="40" level="32767"/>
    <cacheField name="[data 1].[Join Year].[Join Year]" caption="Join Year" numFmtId="0" hierarchy="27" level="1">
      <sharedItems containsSemiMixedTypes="0" containsNonDate="0" containsString="0"/>
    </cacheField>
  </cacheFields>
  <cacheHierarchies count="45">
    <cacheHierarchy uniqueName="[data].[Emp ID]" caption="Emp ID" attribute="1" defaultMemberUniqueName="[data].[Emp ID].[All]" allUniqueName="[data].[Emp ID].[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Education Qualification]" caption="Education Qualification" attribute="1" defaultMemberUniqueName="[data].[Education Qualification].[All]" allUniqueName="[data].[Education Qualification].[All]" dimensionUniqueName="[data]" displayFolder="" count="0" memberValueDatatype="130" unbalanced="0"/>
    <cacheHierarchy uniqueName="[data].[Date of Join]" caption="Date of Join" attribute="1" time="1" defaultMemberUniqueName="[data].[Date of Join].[All]" allUniqueName="[data].[Date of Join].[All]" dimensionUniqueName="[data]" displayFolder="" count="0" memberValueDatatype="7" unbalanced="0"/>
    <cacheHierarchy uniqueName="[data].[Job Title]" caption="Job Title" attribute="1" defaultMemberUniqueName="[data].[Job Title].[All]" allUniqueName="[data].[Job Titl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Age]" caption="Age" attribute="1" defaultMemberUniqueName="[data].[Age].[All]" allUniqueName="[data].[Age].[All]" dimensionUniqueName="[data]" displayFolder="" count="0" memberValueDatatype="5" unbalanced="0"/>
    <cacheHierarchy uniqueName="[data].[Leave Balance]" caption="Leave Balance" attribute="1" defaultMemberUniqueName="[data].[Leave Balance].[All]" allUniqueName="[data].[Leave Balance].[All]" dimensionUniqueName="[data]" displayFolder="" count="0" memberValueDatatype="20" unbalanced="0"/>
    <cacheHierarchy uniqueName="[data].[Years of Service]" caption="Years of Service" attribute="1" defaultMemberUniqueName="[data].[Years of Service].[All]" allUniqueName="[data].[Years of Service].[All]" dimensionUniqueName="[data]" displayFolder="" count="0" memberValueDatatype="5" unbalanced="0"/>
    <cacheHierarchy uniqueName="[data].[Age Group]" caption="Age Group" attribute="1" defaultMemberUniqueName="[data].[Age Group].[All]" allUniqueName="[data].[Age Group].[All]" dimensionUniqueName="[data]" displayFolder="" count="0" memberValueDatatype="130" unbalanced="0"/>
    <cacheHierarchy uniqueName="[data].[Salary Band]" caption="Salary Band" attribute="1" defaultMemberUniqueName="[data].[Salary Band].[All]" allUniqueName="[data].[Salary Band].[All]" dimensionUniqueName="[data]" displayFolder="" count="0" memberValueDatatype="130" unbalanced="0"/>
    <cacheHierarchy uniqueName="[data].[Join Year]" caption="Join Year" attribute="1" defaultMemberUniqueName="[data].[Join Year].[All]" allUniqueName="[data].[Join Year].[All]" dimensionUniqueName="[data]" displayFolder="" count="0" memberValueDatatype="20" unbalanced="0"/>
    <cacheHierarchy uniqueName="[data].[Join Month]" caption="Join Month" attribute="1" defaultMemberUniqueName="[data].[Join Month].[All]" allUniqueName="[data].[Join Month].[All]" dimensionUniqueName="[data]" displayFolder="" count="0" memberValueDatatype="130" unbalanced="0"/>
    <cacheHierarchy uniqueName="[data].[Quarter]" caption="Quarter" attribute="1" defaultMemberUniqueName="[data].[Quarter].[All]" allUniqueName="[data].[Quarter].[All]" dimensionUniqueName="[data]" displayFolder="" count="0" memberValueDatatype="20" unbalanced="0"/>
    <cacheHierarchy uniqueName="[data 1].[Emp ID]" caption="Emp ID" attribute="1" defaultMemberUniqueName="[data 1].[Emp ID].[All]" allUniqueName="[data 1].[Emp ID].[All]" dimensionUniqueName="[data 1]" displayFolder="" count="0" memberValueDatatype="130" unbalanced="0"/>
    <cacheHierarchy uniqueName="[data 1].[Name]" caption="Name" attribute="1" defaultMemberUniqueName="[data 1].[Name].[All]" allUniqueName="[data 1].[Name].[All]" dimensionUniqueName="[data 1]" displayFolder="" count="0" memberValueDatatype="130" unbalanced="0"/>
    <cacheHierarchy uniqueName="[data 1].[Gender]" caption="Gender" attribute="1" defaultMemberUniqueName="[data 1].[Gender].[All]" allUniqueName="[data 1].[Gender].[All]" dimensionUniqueName="[data 1]" displayFolder="" count="0" memberValueDatatype="130" unbalanced="0"/>
    <cacheHierarchy uniqueName="[data 1].[Education Qualification]" caption="Education Qualification" attribute="1" defaultMemberUniqueName="[data 1].[Education Qualification].[All]" allUniqueName="[data 1].[Education Qualification].[All]" dimensionUniqueName="[data 1]" displayFolder="" count="2" memberValueDatatype="130" unbalanced="0"/>
    <cacheHierarchy uniqueName="[data 1].[Date of Join]" caption="Date of Join" attribute="1" time="1" defaultMemberUniqueName="[data 1].[Date of Join].[All]" allUniqueName="[data 1].[Date of Join].[All]" dimensionUniqueName="[data 1]" displayFolder="" count="0" memberValueDatatype="7" unbalanced="0"/>
    <cacheHierarchy uniqueName="[data 1].[Job Title]" caption="Job Title" attribute="1" defaultMemberUniqueName="[data 1].[Job Title].[All]" allUniqueName="[data 1].[Job Title].[All]" dimensionUniqueName="[data 1]" displayFolder="" count="2" memberValueDatatype="130" unbalanced="0">
      <fieldsUsage count="2">
        <fieldUsage x="-1"/>
        <fieldUsage x="0"/>
      </fieldsUsage>
    </cacheHierarchy>
    <cacheHierarchy uniqueName="[data 1].[Salary]" caption="Salary" attribute="1" defaultMemberUniqueName="[data 1].[Salary].[All]" allUniqueName="[data 1].[Salary].[All]" dimensionUniqueName="[data 1]" displayFolder="" count="0" memberValueDatatype="20" unbalanced="0"/>
    <cacheHierarchy uniqueName="[data 1].[Age]" caption="Age" attribute="1" defaultMemberUniqueName="[data 1].[Age].[All]" allUniqueName="[data 1].[Age].[All]" dimensionUniqueName="[data 1]" displayFolder="" count="0" memberValueDatatype="5" unbalanced="0"/>
    <cacheHierarchy uniqueName="[data 1].[Leave Balance]" caption="Leave Balance" attribute="1" defaultMemberUniqueName="[data 1].[Leave Balance].[All]" allUniqueName="[data 1].[Leave Balance].[All]" dimensionUniqueName="[data 1]" displayFolder="" count="0" memberValueDatatype="20" unbalanced="0"/>
    <cacheHierarchy uniqueName="[data 1].[Years of Service]" caption="Years of Service" attribute="1" defaultMemberUniqueName="[data 1].[Years of Service].[All]" allUniqueName="[data 1].[Years of Service].[All]" dimensionUniqueName="[data 1]" displayFolder="" count="0" memberValueDatatype="5" unbalanced="0"/>
    <cacheHierarchy uniqueName="[data 1].[Age Group]" caption="Age Group" attribute="1" defaultMemberUniqueName="[data 1].[Age Group].[All]" allUniqueName="[data 1].[Age Group].[All]" dimensionUniqueName="[data 1]" displayFolder="" count="0" memberValueDatatype="130" unbalanced="0"/>
    <cacheHierarchy uniqueName="[data 1].[Salary Band]" caption="Salary Band" attribute="1" defaultMemberUniqueName="[data 1].[Salary Band].[All]" allUniqueName="[data 1].[Salary Band].[All]" dimensionUniqueName="[data 1]" displayFolder="" count="0" memberValueDatatype="130" unbalanced="0"/>
    <cacheHierarchy uniqueName="[data 1].[Join Year]" caption="Join Year" attribute="1" defaultMemberUniqueName="[data 1].[Join Year].[All]" allUniqueName="[data 1].[Join Year].[All]" dimensionUniqueName="[data 1]" displayFolder="" count="2" memberValueDatatype="20" unbalanced="0">
      <fieldsUsage count="2">
        <fieldUsage x="-1"/>
        <fieldUsage x="2"/>
      </fieldsUsage>
    </cacheHierarchy>
    <cacheHierarchy uniqueName="[data 1].[Join Month]" caption="Join Month" attribute="1" defaultMemberUniqueName="[data 1].[Join Month].[All]" allUniqueName="[data 1].[Join Month].[All]" dimensionUniqueName="[data 1]" displayFolder="" count="0" memberValueDatatype="130" unbalanced="0"/>
    <cacheHierarchy uniqueName="[data 1].[Quarter]" caption="Quarter" attribute="1" defaultMemberUniqueName="[data 1].[Quarter].[All]" allUniqueName="[data 1].[Quarter].[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Salary]" caption="Sum of Salary" measure="1" displayFolder="" measureGroup="data 1"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data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data 1" count="0" hidden="1">
      <extLst>
        <ext xmlns:x15="http://schemas.microsoft.com/office/spreadsheetml/2010/11/main" uri="{B97F6D7D-B522-45F9-BDA1-12C45D357490}">
          <x15:cacheHierarchy aggregatedColumn="21"/>
        </ext>
      </extLst>
    </cacheHierarchy>
    <cacheHierarchy uniqueName="[Measures].[Sum of Years of Service]" caption="Sum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Average of Years of Service]" caption="Average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Sum of Leave Balance]" caption="Sum of Leave Balance" measure="1" displayFolder="" measureGroup="data 1" count="0" hidden="1">
      <extLst>
        <ext xmlns:x15="http://schemas.microsoft.com/office/spreadsheetml/2010/11/main" uri="{B97F6D7D-B522-45F9-BDA1-12C45D357490}">
          <x15:cacheHierarchy aggregatedColumn="23"/>
        </ext>
      </extLst>
    </cacheHierarchy>
    <cacheHierarchy uniqueName="[Measures].[Average of Leave Balance]" caption="Average of Leave Balance" measure="1" displayFolder="" measureGroup="data 1" count="0" hidden="1">
      <extLst>
        <ext xmlns:x15="http://schemas.microsoft.com/office/spreadsheetml/2010/11/main" uri="{B97F6D7D-B522-45F9-BDA1-12C45D357490}">
          <x15:cacheHierarchy aggregatedColumn="23"/>
        </ext>
      </extLst>
    </cacheHierarchy>
    <cacheHierarchy uniqueName="[Measures].[Count of Emp ID]" caption="Count of Emp ID" measure="1" displayFolder="" measureGroup="data 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Join Year]" caption="Sum of Join Year" measure="1" displayFolder="" measureGroup="data 1" count="0" hidden="1">
      <extLst>
        <ext xmlns:x15="http://schemas.microsoft.com/office/spreadsheetml/2010/11/main" uri="{B97F6D7D-B522-45F9-BDA1-12C45D357490}">
          <x15:cacheHierarchy aggregatedColumn="27"/>
        </ext>
      </extLst>
    </cacheHierarchy>
    <cacheHierarchy uniqueName="[Measures].[Count of Join Month]" caption="Count of Join Month" measure="1" displayFolder="" measureGroup="data 1" count="0" hidden="1">
      <extLst>
        <ext xmlns:x15="http://schemas.microsoft.com/office/spreadsheetml/2010/11/main" uri="{B97F6D7D-B522-45F9-BDA1-12C45D357490}">
          <x15:cacheHierarchy aggregatedColumn="28"/>
        </ext>
      </extLst>
    </cacheHierarchy>
    <cacheHierarchy uniqueName="[Measures].[Count of Join Year]" caption="Count of Join Year" measure="1" displayFolder="" measureGroup="data 1" count="0" hidden="1">
      <extLst>
        <ext xmlns:x15="http://schemas.microsoft.com/office/spreadsheetml/2010/11/main" uri="{B97F6D7D-B522-45F9-BDA1-12C45D357490}">
          <x15:cacheHierarchy aggregatedColumn="27"/>
        </ext>
      </extLst>
    </cacheHierarchy>
    <cacheHierarchy uniqueName="[Measures].[Sum of Quarter]" caption="Sum of Quarter" measure="1" displayFolder="" measureGroup="data 1" count="0" hidden="1">
      <extLst>
        <ext xmlns:x15="http://schemas.microsoft.com/office/spreadsheetml/2010/11/main" uri="{B97F6D7D-B522-45F9-BDA1-12C45D357490}">
          <x15:cacheHierarchy aggregatedColumn="29"/>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adr" refreshedDate="46191.54992928241" backgroundQuery="1" createdVersion="8" refreshedVersion="8" minRefreshableVersion="3" recordCount="0" supportSubquery="1" supportAdvancedDrill="1" xr:uid="{257F3EA0-D6B5-4824-9BB1-A2276C2F2929}">
  <cacheSource type="external" connectionId="3"/>
  <cacheFields count="3">
    <cacheField name="[Measures].[Count of Emp ID]" caption="Count of Emp ID" numFmtId="0" hierarchy="40" level="32767"/>
    <cacheField name="[data 1].[Salary Band].[Salary Band]" caption="Salary Band" numFmtId="0" hierarchy="26" level="1">
      <sharedItems count="4">
        <s v="0-40K"/>
        <s v="40K-60K"/>
        <s v="60K-80K"/>
        <s v="80K+"/>
      </sharedItems>
    </cacheField>
    <cacheField name="[data 1].[Join Year].[Join Year]" caption="Join Year" numFmtId="0" hierarchy="27" level="1">
      <sharedItems containsSemiMixedTypes="0" containsNonDate="0" containsString="0"/>
    </cacheField>
  </cacheFields>
  <cacheHierarchies count="45">
    <cacheHierarchy uniqueName="[data].[Emp ID]" caption="Emp ID" attribute="1" defaultMemberUniqueName="[data].[Emp ID].[All]" allUniqueName="[data].[Emp ID].[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Education Qualification]" caption="Education Qualification" attribute="1" defaultMemberUniqueName="[data].[Education Qualification].[All]" allUniqueName="[data].[Education Qualification].[All]" dimensionUniqueName="[data]" displayFolder="" count="0" memberValueDatatype="130" unbalanced="0"/>
    <cacheHierarchy uniqueName="[data].[Date of Join]" caption="Date of Join" attribute="1" time="1" defaultMemberUniqueName="[data].[Date of Join].[All]" allUniqueName="[data].[Date of Join].[All]" dimensionUniqueName="[data]" displayFolder="" count="0" memberValueDatatype="7" unbalanced="0"/>
    <cacheHierarchy uniqueName="[data].[Job Title]" caption="Job Title" attribute="1" defaultMemberUniqueName="[data].[Job Title].[All]" allUniqueName="[data].[Job Titl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Age]" caption="Age" attribute="1" defaultMemberUniqueName="[data].[Age].[All]" allUniqueName="[data].[Age].[All]" dimensionUniqueName="[data]" displayFolder="" count="0" memberValueDatatype="5" unbalanced="0"/>
    <cacheHierarchy uniqueName="[data].[Leave Balance]" caption="Leave Balance" attribute="1" defaultMemberUniqueName="[data].[Leave Balance].[All]" allUniqueName="[data].[Leave Balance].[All]" dimensionUniqueName="[data]" displayFolder="" count="0" memberValueDatatype="20" unbalanced="0"/>
    <cacheHierarchy uniqueName="[data].[Years of Service]" caption="Years of Service" attribute="1" defaultMemberUniqueName="[data].[Years of Service].[All]" allUniqueName="[data].[Years of Service].[All]" dimensionUniqueName="[data]" displayFolder="" count="0" memberValueDatatype="5" unbalanced="0"/>
    <cacheHierarchy uniqueName="[data].[Age Group]" caption="Age Group" attribute="1" defaultMemberUniqueName="[data].[Age Group].[All]" allUniqueName="[data].[Age Group].[All]" dimensionUniqueName="[data]" displayFolder="" count="0" memberValueDatatype="130" unbalanced="0"/>
    <cacheHierarchy uniqueName="[data].[Salary Band]" caption="Salary Band" attribute="1" defaultMemberUniqueName="[data].[Salary Band].[All]" allUniqueName="[data].[Salary Band].[All]" dimensionUniqueName="[data]" displayFolder="" count="0" memberValueDatatype="130" unbalanced="0"/>
    <cacheHierarchy uniqueName="[data].[Join Year]" caption="Join Year" attribute="1" defaultMemberUniqueName="[data].[Join Year].[All]" allUniqueName="[data].[Join Year].[All]" dimensionUniqueName="[data]" displayFolder="" count="0" memberValueDatatype="20" unbalanced="0"/>
    <cacheHierarchy uniqueName="[data].[Join Month]" caption="Join Month" attribute="1" defaultMemberUniqueName="[data].[Join Month].[All]" allUniqueName="[data].[Join Month].[All]" dimensionUniqueName="[data]" displayFolder="" count="0" memberValueDatatype="130" unbalanced="0"/>
    <cacheHierarchy uniqueName="[data].[Quarter]" caption="Quarter" attribute="1" defaultMemberUniqueName="[data].[Quarter].[All]" allUniqueName="[data].[Quarter].[All]" dimensionUniqueName="[data]" displayFolder="" count="0" memberValueDatatype="20" unbalanced="0"/>
    <cacheHierarchy uniqueName="[data 1].[Emp ID]" caption="Emp ID" attribute="1" defaultMemberUniqueName="[data 1].[Emp ID].[All]" allUniqueName="[data 1].[Emp ID].[All]" dimensionUniqueName="[data 1]" displayFolder="" count="0" memberValueDatatype="130" unbalanced="0"/>
    <cacheHierarchy uniqueName="[data 1].[Name]" caption="Name" attribute="1" defaultMemberUniqueName="[data 1].[Name].[All]" allUniqueName="[data 1].[Name].[All]" dimensionUniqueName="[data 1]" displayFolder="" count="0" memberValueDatatype="130" unbalanced="0"/>
    <cacheHierarchy uniqueName="[data 1].[Gender]" caption="Gender" attribute="1" defaultMemberUniqueName="[data 1].[Gender].[All]" allUniqueName="[data 1].[Gender].[All]" dimensionUniqueName="[data 1]" displayFolder="" count="0" memberValueDatatype="130" unbalanced="0"/>
    <cacheHierarchy uniqueName="[data 1].[Education Qualification]" caption="Education Qualification" attribute="1" defaultMemberUniqueName="[data 1].[Education Qualification].[All]" allUniqueName="[data 1].[Education Qualification].[All]" dimensionUniqueName="[data 1]" displayFolder="" count="2" memberValueDatatype="130" unbalanced="0"/>
    <cacheHierarchy uniqueName="[data 1].[Date of Join]" caption="Date of Join" attribute="1" time="1" defaultMemberUniqueName="[data 1].[Date of Join].[All]" allUniqueName="[data 1].[Date of Join].[All]" dimensionUniqueName="[data 1]" displayFolder="" count="0" memberValueDatatype="7" unbalanced="0"/>
    <cacheHierarchy uniqueName="[data 1].[Job Title]" caption="Job Title" attribute="1" defaultMemberUniqueName="[data 1].[Job Title].[All]" allUniqueName="[data 1].[Job Title].[All]" dimensionUniqueName="[data 1]" displayFolder="" count="2" memberValueDatatype="130" unbalanced="0"/>
    <cacheHierarchy uniqueName="[data 1].[Salary]" caption="Salary" attribute="1" defaultMemberUniqueName="[data 1].[Salary].[All]" allUniqueName="[data 1].[Salary].[All]" dimensionUniqueName="[data 1]" displayFolder="" count="0" memberValueDatatype="20" unbalanced="0"/>
    <cacheHierarchy uniqueName="[data 1].[Age]" caption="Age" attribute="1" defaultMemberUniqueName="[data 1].[Age].[All]" allUniqueName="[data 1].[Age].[All]" dimensionUniqueName="[data 1]" displayFolder="" count="0" memberValueDatatype="5" unbalanced="0"/>
    <cacheHierarchy uniqueName="[data 1].[Leave Balance]" caption="Leave Balance" attribute="1" defaultMemberUniqueName="[data 1].[Leave Balance].[All]" allUniqueName="[data 1].[Leave Balance].[All]" dimensionUniqueName="[data 1]" displayFolder="" count="0" memberValueDatatype="20" unbalanced="0"/>
    <cacheHierarchy uniqueName="[data 1].[Years of Service]" caption="Years of Service" attribute="1" defaultMemberUniqueName="[data 1].[Years of Service].[All]" allUniqueName="[data 1].[Years of Service].[All]" dimensionUniqueName="[data 1]" displayFolder="" count="0" memberValueDatatype="5" unbalanced="0"/>
    <cacheHierarchy uniqueName="[data 1].[Age Group]" caption="Age Group" attribute="1" defaultMemberUniqueName="[data 1].[Age Group].[All]" allUniqueName="[data 1].[Age Group].[All]" dimensionUniqueName="[data 1]" displayFolder="" count="0" memberValueDatatype="130" unbalanced="0"/>
    <cacheHierarchy uniqueName="[data 1].[Salary Band]" caption="Salary Band" attribute="1" defaultMemberUniqueName="[data 1].[Salary Band].[All]" allUniqueName="[data 1].[Salary Band].[All]" dimensionUniqueName="[data 1]" displayFolder="" count="2" memberValueDatatype="130" unbalanced="0">
      <fieldsUsage count="2">
        <fieldUsage x="-1"/>
        <fieldUsage x="1"/>
      </fieldsUsage>
    </cacheHierarchy>
    <cacheHierarchy uniqueName="[data 1].[Join Year]" caption="Join Year" attribute="1" defaultMemberUniqueName="[data 1].[Join Year].[All]" allUniqueName="[data 1].[Join Year].[All]" dimensionUniqueName="[data 1]" displayFolder="" count="2" memberValueDatatype="20" unbalanced="0">
      <fieldsUsage count="2">
        <fieldUsage x="-1"/>
        <fieldUsage x="2"/>
      </fieldsUsage>
    </cacheHierarchy>
    <cacheHierarchy uniqueName="[data 1].[Join Month]" caption="Join Month" attribute="1" defaultMemberUniqueName="[data 1].[Join Month].[All]" allUniqueName="[data 1].[Join Month].[All]" dimensionUniqueName="[data 1]" displayFolder="" count="0" memberValueDatatype="130" unbalanced="0"/>
    <cacheHierarchy uniqueName="[data 1].[Quarter]" caption="Quarter" attribute="1" defaultMemberUniqueName="[data 1].[Quarter].[All]" allUniqueName="[data 1].[Quarter].[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Salary]" caption="Sum of Salary" measure="1" displayFolder="" measureGroup="data 1"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data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data 1" count="0" hidden="1">
      <extLst>
        <ext xmlns:x15="http://schemas.microsoft.com/office/spreadsheetml/2010/11/main" uri="{B97F6D7D-B522-45F9-BDA1-12C45D357490}">
          <x15:cacheHierarchy aggregatedColumn="21"/>
        </ext>
      </extLst>
    </cacheHierarchy>
    <cacheHierarchy uniqueName="[Measures].[Sum of Years of Service]" caption="Sum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Average of Years of Service]" caption="Average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Sum of Leave Balance]" caption="Sum of Leave Balance" measure="1" displayFolder="" measureGroup="data 1" count="0" hidden="1">
      <extLst>
        <ext xmlns:x15="http://schemas.microsoft.com/office/spreadsheetml/2010/11/main" uri="{B97F6D7D-B522-45F9-BDA1-12C45D357490}">
          <x15:cacheHierarchy aggregatedColumn="23"/>
        </ext>
      </extLst>
    </cacheHierarchy>
    <cacheHierarchy uniqueName="[Measures].[Average of Leave Balance]" caption="Average of Leave Balance" measure="1" displayFolder="" measureGroup="data 1" count="0" hidden="1">
      <extLst>
        <ext xmlns:x15="http://schemas.microsoft.com/office/spreadsheetml/2010/11/main" uri="{B97F6D7D-B522-45F9-BDA1-12C45D357490}">
          <x15:cacheHierarchy aggregatedColumn="23"/>
        </ext>
      </extLst>
    </cacheHierarchy>
    <cacheHierarchy uniqueName="[Measures].[Count of Emp ID]" caption="Count of Emp ID" measure="1" displayFolder="" measureGroup="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Join Year]" caption="Sum of Join Year" measure="1" displayFolder="" measureGroup="data 1" count="0" hidden="1">
      <extLst>
        <ext xmlns:x15="http://schemas.microsoft.com/office/spreadsheetml/2010/11/main" uri="{B97F6D7D-B522-45F9-BDA1-12C45D357490}">
          <x15:cacheHierarchy aggregatedColumn="27"/>
        </ext>
      </extLst>
    </cacheHierarchy>
    <cacheHierarchy uniqueName="[Measures].[Count of Join Month]" caption="Count of Join Month" measure="1" displayFolder="" measureGroup="data 1" count="0" hidden="1">
      <extLst>
        <ext xmlns:x15="http://schemas.microsoft.com/office/spreadsheetml/2010/11/main" uri="{B97F6D7D-B522-45F9-BDA1-12C45D357490}">
          <x15:cacheHierarchy aggregatedColumn="28"/>
        </ext>
      </extLst>
    </cacheHierarchy>
    <cacheHierarchy uniqueName="[Measures].[Count of Join Year]" caption="Count of Join Year" measure="1" displayFolder="" measureGroup="data 1" count="0" hidden="1">
      <extLst>
        <ext xmlns:x15="http://schemas.microsoft.com/office/spreadsheetml/2010/11/main" uri="{B97F6D7D-B522-45F9-BDA1-12C45D357490}">
          <x15:cacheHierarchy aggregatedColumn="27"/>
        </ext>
      </extLst>
    </cacheHierarchy>
    <cacheHierarchy uniqueName="[Measures].[Sum of Quarter]" caption="Sum of Quarter" measure="1" displayFolder="" measureGroup="data 1" count="0" hidden="1">
      <extLst>
        <ext xmlns:x15="http://schemas.microsoft.com/office/spreadsheetml/2010/11/main" uri="{B97F6D7D-B522-45F9-BDA1-12C45D357490}">
          <x15:cacheHierarchy aggregatedColumn="29"/>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adr" refreshedDate="46191.54992986111" backgroundQuery="1" createdVersion="8" refreshedVersion="8" minRefreshableVersion="3" recordCount="0" supportSubquery="1" supportAdvancedDrill="1" xr:uid="{6DDA097D-9621-4B88-865A-3CD0B7D1FE0E}">
  <cacheSource type="external" connectionId="3"/>
  <cacheFields count="5">
    <cacheField name="[Measures].[Count of Emp ID]" caption="Count of Emp ID" numFmtId="0" hierarchy="40" level="32767"/>
    <cacheField name="[data 1].[Join Month].[Join Month]" caption="Join Month" numFmtId="0" hierarchy="28" level="1">
      <sharedItems count="12">
        <s v="Apr"/>
        <s v="Aug"/>
        <s v="Dec"/>
        <s v="Feb"/>
        <s v="Jan"/>
        <s v="Jul"/>
        <s v="Jun"/>
        <s v="Mar"/>
        <s v="May"/>
        <s v="Nov"/>
        <s v="Oct"/>
        <s v="Sep"/>
      </sharedItems>
    </cacheField>
    <cacheField name="[data 1].[Education Qualification].[Education Qualification]" caption="Education Qualification" numFmtId="0" hierarchy="18" level="1">
      <sharedItems count="4">
        <s v="Bachelor'S Degree"/>
        <s v="Diploma"/>
        <s v="High School Diploma"/>
        <s v="Master'S Degree"/>
      </sharedItems>
    </cacheField>
    <cacheField name="[data 1].[Join Year].[Join Year]" caption="Join Year" numFmtId="0" hierarchy="27" level="1">
      <sharedItems containsSemiMixedTypes="0" containsNonDate="0" containsString="0"/>
    </cacheField>
    <cacheField name="Unsupported0" numFmtId="0" hierarchy="45" level="32767">
      <extLst>
        <ext xmlns:x14="http://schemas.microsoft.com/office/spreadsheetml/2009/9/main" uri="{63CAB8AC-B538-458d-9737-405883B0398D}">
          <x14:cacheField ignore="1"/>
        </ext>
      </extLst>
    </cacheField>
  </cacheFields>
  <cacheHierarchies count="46">
    <cacheHierarchy uniqueName="[data].[Emp ID]" caption="Emp ID" attribute="1" defaultMemberUniqueName="[data].[Emp ID].[All]" allUniqueName="[data].[Emp ID].[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Education Qualification]" caption="Education Qualification" attribute="1" defaultMemberUniqueName="[data].[Education Qualification].[All]" allUniqueName="[data].[Education Qualification].[All]" dimensionUniqueName="[data]" displayFolder="" count="0" memberValueDatatype="130" unbalanced="0"/>
    <cacheHierarchy uniqueName="[data].[Date of Join]" caption="Date of Join" attribute="1" time="1" defaultMemberUniqueName="[data].[Date of Join].[All]" allUniqueName="[data].[Date of Join].[All]" dimensionUniqueName="[data]" displayFolder="" count="0" memberValueDatatype="7" unbalanced="0"/>
    <cacheHierarchy uniqueName="[data].[Job Title]" caption="Job Title" attribute="1" defaultMemberUniqueName="[data].[Job Title].[All]" allUniqueName="[data].[Job Titl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Age]" caption="Age" attribute="1" defaultMemberUniqueName="[data].[Age].[All]" allUniqueName="[data].[Age].[All]" dimensionUniqueName="[data]" displayFolder="" count="0" memberValueDatatype="5" unbalanced="0"/>
    <cacheHierarchy uniqueName="[data].[Leave Balance]" caption="Leave Balance" attribute="1" defaultMemberUniqueName="[data].[Leave Balance].[All]" allUniqueName="[data].[Leave Balance].[All]" dimensionUniqueName="[data]" displayFolder="" count="0" memberValueDatatype="20" unbalanced="0"/>
    <cacheHierarchy uniqueName="[data].[Years of Service]" caption="Years of Service" attribute="1" defaultMemberUniqueName="[data].[Years of Service].[All]" allUniqueName="[data].[Years of Service].[All]" dimensionUniqueName="[data]" displayFolder="" count="0" memberValueDatatype="5" unbalanced="0"/>
    <cacheHierarchy uniqueName="[data].[Age Group]" caption="Age Group" attribute="1" defaultMemberUniqueName="[data].[Age Group].[All]" allUniqueName="[data].[Age Group].[All]" dimensionUniqueName="[data]" displayFolder="" count="0" memberValueDatatype="130" unbalanced="0"/>
    <cacheHierarchy uniqueName="[data].[Salary Band]" caption="Salary Band" attribute="1" defaultMemberUniqueName="[data].[Salary Band].[All]" allUniqueName="[data].[Salary Band].[All]" dimensionUniqueName="[data]" displayFolder="" count="0" memberValueDatatype="130" unbalanced="0"/>
    <cacheHierarchy uniqueName="[data].[Join Year]" caption="Join Year" attribute="1" defaultMemberUniqueName="[data].[Join Year].[All]" allUniqueName="[data].[Join Year].[All]" dimensionUniqueName="[data]" displayFolder="" count="0" memberValueDatatype="20" unbalanced="0"/>
    <cacheHierarchy uniqueName="[data].[Join Month]" caption="Join Month" attribute="1" defaultMemberUniqueName="[data].[Join Month].[All]" allUniqueName="[data].[Join Month].[All]" dimensionUniqueName="[data]" displayFolder="" count="0" memberValueDatatype="130" unbalanced="0"/>
    <cacheHierarchy uniqueName="[data].[Quarter]" caption="Quarter" attribute="1" defaultMemberUniqueName="[data].[Quarter].[All]" allUniqueName="[data].[Quarter].[All]" dimensionUniqueName="[data]" displayFolder="" count="0" memberValueDatatype="20" unbalanced="0"/>
    <cacheHierarchy uniqueName="[data 1].[Emp ID]" caption="Emp ID" attribute="1" defaultMemberUniqueName="[data 1].[Emp ID].[All]" allUniqueName="[data 1].[Emp ID].[All]" dimensionUniqueName="[data 1]" displayFolder="" count="0" memberValueDatatype="130" unbalanced="0"/>
    <cacheHierarchy uniqueName="[data 1].[Name]" caption="Name" attribute="1" defaultMemberUniqueName="[data 1].[Name].[All]" allUniqueName="[data 1].[Name].[All]" dimensionUniqueName="[data 1]" displayFolder="" count="0" memberValueDatatype="130" unbalanced="0"/>
    <cacheHierarchy uniqueName="[data 1].[Gender]" caption="Gender" attribute="1" defaultMemberUniqueName="[data 1].[Gender].[All]" allUniqueName="[data 1].[Gender].[All]" dimensionUniqueName="[data 1]" displayFolder="" count="0" memberValueDatatype="130" unbalanced="0"/>
    <cacheHierarchy uniqueName="[data 1].[Education Qualification]" caption="Education Qualification" attribute="1" defaultMemberUniqueName="[data 1].[Education Qualification].[All]" allUniqueName="[data 1].[Education Qualification].[All]" dimensionUniqueName="[data 1]" displayFolder="" count="2" memberValueDatatype="130" unbalanced="0">
      <fieldsUsage count="2">
        <fieldUsage x="-1"/>
        <fieldUsage x="2"/>
      </fieldsUsage>
    </cacheHierarchy>
    <cacheHierarchy uniqueName="[data 1].[Date of Join]" caption="Date of Join" attribute="1" time="1" defaultMemberUniqueName="[data 1].[Date of Join].[All]" allUniqueName="[data 1].[Date of Join].[All]" dimensionUniqueName="[data 1]" displayFolder="" count="0" memberValueDatatype="7" unbalanced="0"/>
    <cacheHierarchy uniqueName="[data 1].[Job Title]" caption="Job Title" attribute="1" defaultMemberUniqueName="[data 1].[Job Title].[All]" allUniqueName="[data 1].[Job Title].[All]" dimensionUniqueName="[data 1]" displayFolder="" count="2" memberValueDatatype="130" unbalanced="0"/>
    <cacheHierarchy uniqueName="[data 1].[Salary]" caption="Salary" attribute="1" defaultMemberUniqueName="[data 1].[Salary].[All]" allUniqueName="[data 1].[Salary].[All]" dimensionUniqueName="[data 1]" displayFolder="" count="0" memberValueDatatype="20" unbalanced="0"/>
    <cacheHierarchy uniqueName="[data 1].[Age]" caption="Age" attribute="1" defaultMemberUniqueName="[data 1].[Age].[All]" allUniqueName="[data 1].[Age].[All]" dimensionUniqueName="[data 1]" displayFolder="" count="0" memberValueDatatype="5" unbalanced="0"/>
    <cacheHierarchy uniqueName="[data 1].[Leave Balance]" caption="Leave Balance" attribute="1" defaultMemberUniqueName="[data 1].[Leave Balance].[All]" allUniqueName="[data 1].[Leave Balance].[All]" dimensionUniqueName="[data 1]" displayFolder="" count="0" memberValueDatatype="20" unbalanced="0"/>
    <cacheHierarchy uniqueName="[data 1].[Years of Service]" caption="Years of Service" attribute="1" defaultMemberUniqueName="[data 1].[Years of Service].[All]" allUniqueName="[data 1].[Years of Service].[All]" dimensionUniqueName="[data 1]" displayFolder="" count="0" memberValueDatatype="5" unbalanced="0"/>
    <cacheHierarchy uniqueName="[data 1].[Age Group]" caption="Age Group" attribute="1" defaultMemberUniqueName="[data 1].[Age Group].[All]" allUniqueName="[data 1].[Age Group].[All]" dimensionUniqueName="[data 1]" displayFolder="" count="0" memberValueDatatype="130" unbalanced="0"/>
    <cacheHierarchy uniqueName="[data 1].[Salary Band]" caption="Salary Band" attribute="1" defaultMemberUniqueName="[data 1].[Salary Band].[All]" allUniqueName="[data 1].[Salary Band].[All]" dimensionUniqueName="[data 1]" displayFolder="" count="0" memberValueDatatype="130" unbalanced="0"/>
    <cacheHierarchy uniqueName="[data 1].[Join Year]" caption="Join Year" attribute="1" defaultMemberUniqueName="[data 1].[Join Year].[All]" allUniqueName="[data 1].[Join Year].[All]" dimensionUniqueName="[data 1]" displayFolder="" count="2" memberValueDatatype="20" unbalanced="0">
      <fieldsUsage count="2">
        <fieldUsage x="-1"/>
        <fieldUsage x="3"/>
      </fieldsUsage>
    </cacheHierarchy>
    <cacheHierarchy uniqueName="[data 1].[Join Month]" caption="Join Month" attribute="1" defaultMemberUniqueName="[data 1].[Join Month].[All]" allUniqueName="[data 1].[Join Month].[All]" dimensionUniqueName="[data 1]" displayFolder="" count="2" memberValueDatatype="130" unbalanced="0">
      <fieldsUsage count="2">
        <fieldUsage x="-1"/>
        <fieldUsage x="1"/>
      </fieldsUsage>
    </cacheHierarchy>
    <cacheHierarchy uniqueName="[data 1].[Quarter]" caption="Quarter" attribute="1" defaultMemberUniqueName="[data 1].[Quarter].[All]" allUniqueName="[data 1].[Quarter].[All]" dimensionUniqueName="[data 1]" displayFolder="" count="2"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Salary]" caption="Sum of Salary" measure="1" displayFolder="" measureGroup="data 1"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data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data 1" count="0" hidden="1">
      <extLst>
        <ext xmlns:x15="http://schemas.microsoft.com/office/spreadsheetml/2010/11/main" uri="{B97F6D7D-B522-45F9-BDA1-12C45D357490}">
          <x15:cacheHierarchy aggregatedColumn="21"/>
        </ext>
      </extLst>
    </cacheHierarchy>
    <cacheHierarchy uniqueName="[Measures].[Sum of Years of Service]" caption="Sum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Average of Years of Service]" caption="Average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Sum of Leave Balance]" caption="Sum of Leave Balance" measure="1" displayFolder="" measureGroup="data 1" count="0" hidden="1">
      <extLst>
        <ext xmlns:x15="http://schemas.microsoft.com/office/spreadsheetml/2010/11/main" uri="{B97F6D7D-B522-45F9-BDA1-12C45D357490}">
          <x15:cacheHierarchy aggregatedColumn="23"/>
        </ext>
      </extLst>
    </cacheHierarchy>
    <cacheHierarchy uniqueName="[Measures].[Average of Leave Balance]" caption="Average of Leave Balance" measure="1" displayFolder="" measureGroup="data 1" count="0" hidden="1">
      <extLst>
        <ext xmlns:x15="http://schemas.microsoft.com/office/spreadsheetml/2010/11/main" uri="{B97F6D7D-B522-45F9-BDA1-12C45D357490}">
          <x15:cacheHierarchy aggregatedColumn="23"/>
        </ext>
      </extLst>
    </cacheHierarchy>
    <cacheHierarchy uniqueName="[Measures].[Count of Emp ID]" caption="Count of Emp ID" measure="1" displayFolder="" measureGroup="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Join Year]" caption="Sum of Join Year" measure="1" displayFolder="" measureGroup="data 1" count="0" hidden="1">
      <extLst>
        <ext xmlns:x15="http://schemas.microsoft.com/office/spreadsheetml/2010/11/main" uri="{B97F6D7D-B522-45F9-BDA1-12C45D357490}">
          <x15:cacheHierarchy aggregatedColumn="27"/>
        </ext>
      </extLst>
    </cacheHierarchy>
    <cacheHierarchy uniqueName="[Measures].[Count of Join Month]" caption="Count of Join Month" measure="1" displayFolder="" measureGroup="data 1" count="0" hidden="1">
      <extLst>
        <ext xmlns:x15="http://schemas.microsoft.com/office/spreadsheetml/2010/11/main" uri="{B97F6D7D-B522-45F9-BDA1-12C45D357490}">
          <x15:cacheHierarchy aggregatedColumn="28"/>
        </ext>
      </extLst>
    </cacheHierarchy>
    <cacheHierarchy uniqueName="[Measures].[Count of Join Year]" caption="Count of Join Year" measure="1" displayFolder="" measureGroup="data 1" count="0" hidden="1">
      <extLst>
        <ext xmlns:x15="http://schemas.microsoft.com/office/spreadsheetml/2010/11/main" uri="{B97F6D7D-B522-45F9-BDA1-12C45D357490}">
          <x15:cacheHierarchy aggregatedColumn="27"/>
        </ext>
      </extLst>
    </cacheHierarchy>
    <cacheHierarchy uniqueName="[Measures].[Sum of Quarter]" caption="Sum of Quarter" measure="1" displayFolder="" measureGroup="data 1" count="0" hidden="1">
      <extLst>
        <ext xmlns:x15="http://schemas.microsoft.com/office/spreadsheetml/2010/11/main" uri="{B97F6D7D-B522-45F9-BDA1-12C45D357490}">
          <x15:cacheHierarchy aggregatedColumn="29"/>
        </ext>
      </extLst>
    </cacheHierarchy>
    <cacheHierarchy uniqueName="Unsupported0" caption="Emp ID" measure="1" count="0">
      <extLst>
        <ext xmlns:x14="http://schemas.microsoft.com/office/spreadsheetml/2009/9/main" uri="{8CF416AD-EC4C-4aba-99F5-12A058AE0983}">
          <x14:cacheHierarchy ignore="1"/>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adr" refreshedDate="46191.555397685188" backgroundQuery="1" createdVersion="8" refreshedVersion="8" minRefreshableVersion="3" recordCount="0" supportSubquery="1" supportAdvancedDrill="1" xr:uid="{FD195DE0-4606-47A5-AE68-140F7A9C9F90}">
  <cacheSource type="external" connectionId="3"/>
  <cacheFields count="2">
    <cacheField name="[data 1].[Job Title].[Job Title]" caption="Job Title" numFmtId="0" hierarchy="20" level="1">
      <sharedItems count="10">
        <s v="Chocolatier"/>
        <s v="Marketing Manager"/>
        <s v="Marketing Specialist"/>
        <s v="Packaging Associate"/>
        <s v="Product Manager"/>
        <s v="Production Operator"/>
        <s v="Quality Control"/>
        <s v="Research Analyst"/>
        <s v="Research Scientist"/>
        <s v="Sales Representative"/>
      </sharedItems>
    </cacheField>
    <cacheField name="[Measures].[Average of Salary]" caption="Average of Salary" numFmtId="0" hierarchy="35" level="32767"/>
  </cacheFields>
  <cacheHierarchies count="45">
    <cacheHierarchy uniqueName="[data].[Emp ID]" caption="Emp ID" attribute="1" defaultMemberUniqueName="[data].[Emp ID].[All]" allUniqueName="[data].[Emp ID].[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Education Qualification]" caption="Education Qualification" attribute="1" defaultMemberUniqueName="[data].[Education Qualification].[All]" allUniqueName="[data].[Education Qualification].[All]" dimensionUniqueName="[data]" displayFolder="" count="0" memberValueDatatype="130" unbalanced="0"/>
    <cacheHierarchy uniqueName="[data].[Date of Join]" caption="Date of Join" attribute="1" time="1" defaultMemberUniqueName="[data].[Date of Join].[All]" allUniqueName="[data].[Date of Join].[All]" dimensionUniqueName="[data]" displayFolder="" count="0" memberValueDatatype="7" unbalanced="0"/>
    <cacheHierarchy uniqueName="[data].[Job Title]" caption="Job Title" attribute="1" defaultMemberUniqueName="[data].[Job Title].[All]" allUniqueName="[data].[Job Titl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Age]" caption="Age" attribute="1" defaultMemberUniqueName="[data].[Age].[All]" allUniqueName="[data].[Age].[All]" dimensionUniqueName="[data]" displayFolder="" count="0" memberValueDatatype="5" unbalanced="0"/>
    <cacheHierarchy uniqueName="[data].[Leave Balance]" caption="Leave Balance" attribute="1" defaultMemberUniqueName="[data].[Leave Balance].[All]" allUniqueName="[data].[Leave Balance].[All]" dimensionUniqueName="[data]" displayFolder="" count="0" memberValueDatatype="20" unbalanced="0"/>
    <cacheHierarchy uniqueName="[data].[Years of Service]" caption="Years of Service" attribute="1" defaultMemberUniqueName="[data].[Years of Service].[All]" allUniqueName="[data].[Years of Service].[All]" dimensionUniqueName="[data]" displayFolder="" count="0" memberValueDatatype="5" unbalanced="0"/>
    <cacheHierarchy uniqueName="[data].[Age Group]" caption="Age Group" attribute="1" defaultMemberUniqueName="[data].[Age Group].[All]" allUniqueName="[data].[Age Group].[All]" dimensionUniqueName="[data]" displayFolder="" count="0" memberValueDatatype="130" unbalanced="0"/>
    <cacheHierarchy uniqueName="[data].[Salary Band]" caption="Salary Band" attribute="1" defaultMemberUniqueName="[data].[Salary Band].[All]" allUniqueName="[data].[Salary Band].[All]" dimensionUniqueName="[data]" displayFolder="" count="0" memberValueDatatype="130" unbalanced="0"/>
    <cacheHierarchy uniqueName="[data].[Join Year]" caption="Join Year" attribute="1" defaultMemberUniqueName="[data].[Join Year].[All]" allUniqueName="[data].[Join Year].[All]" dimensionUniqueName="[data]" displayFolder="" count="0" memberValueDatatype="20" unbalanced="0"/>
    <cacheHierarchy uniqueName="[data].[Join Month]" caption="Join Month" attribute="1" defaultMemberUniqueName="[data].[Join Month].[All]" allUniqueName="[data].[Join Month].[All]" dimensionUniqueName="[data]" displayFolder="" count="0" memberValueDatatype="130" unbalanced="0"/>
    <cacheHierarchy uniqueName="[data].[Quarter]" caption="Quarter" attribute="1" defaultMemberUniqueName="[data].[Quarter].[All]" allUniqueName="[data].[Quarter].[All]" dimensionUniqueName="[data]" displayFolder="" count="0" memberValueDatatype="20" unbalanced="0"/>
    <cacheHierarchy uniqueName="[data 1].[Emp ID]" caption="Emp ID" attribute="1" defaultMemberUniqueName="[data 1].[Emp ID].[All]" allUniqueName="[data 1].[Emp ID].[All]" dimensionUniqueName="[data 1]" displayFolder="" count="0" memberValueDatatype="130" unbalanced="0"/>
    <cacheHierarchy uniqueName="[data 1].[Name]" caption="Name" attribute="1" defaultMemberUniqueName="[data 1].[Name].[All]" allUniqueName="[data 1].[Name].[All]" dimensionUniqueName="[data 1]" displayFolder="" count="0" memberValueDatatype="130" unbalanced="0"/>
    <cacheHierarchy uniqueName="[data 1].[Gender]" caption="Gender" attribute="1" defaultMemberUniqueName="[data 1].[Gender].[All]" allUniqueName="[data 1].[Gender].[All]" dimensionUniqueName="[data 1]" displayFolder="" count="0" memberValueDatatype="130" unbalanced="0"/>
    <cacheHierarchy uniqueName="[data 1].[Education Qualification]" caption="Education Qualification" attribute="1" defaultMemberUniqueName="[data 1].[Education Qualification].[All]" allUniqueName="[data 1].[Education Qualification].[All]" dimensionUniqueName="[data 1]" displayFolder="" count="2" memberValueDatatype="130" unbalanced="0"/>
    <cacheHierarchy uniqueName="[data 1].[Date of Join]" caption="Date of Join" attribute="1" time="1" defaultMemberUniqueName="[data 1].[Date of Join].[All]" allUniqueName="[data 1].[Date of Join].[All]" dimensionUniqueName="[data 1]" displayFolder="" count="0" memberValueDatatype="7" unbalanced="0"/>
    <cacheHierarchy uniqueName="[data 1].[Job Title]" caption="Job Title" attribute="1" defaultMemberUniqueName="[data 1].[Job Title].[All]" allUniqueName="[data 1].[Job Title].[All]" dimensionUniqueName="[data 1]" displayFolder="" count="2" memberValueDatatype="130" unbalanced="0">
      <fieldsUsage count="2">
        <fieldUsage x="-1"/>
        <fieldUsage x="0"/>
      </fieldsUsage>
    </cacheHierarchy>
    <cacheHierarchy uniqueName="[data 1].[Salary]" caption="Salary" attribute="1" defaultMemberUniqueName="[data 1].[Salary].[All]" allUniqueName="[data 1].[Salary].[All]" dimensionUniqueName="[data 1]" displayFolder="" count="0" memberValueDatatype="20" unbalanced="0"/>
    <cacheHierarchy uniqueName="[data 1].[Age]" caption="Age" attribute="1" defaultMemberUniqueName="[data 1].[Age].[All]" allUniqueName="[data 1].[Age].[All]" dimensionUniqueName="[data 1]" displayFolder="" count="0" memberValueDatatype="5" unbalanced="0"/>
    <cacheHierarchy uniqueName="[data 1].[Leave Balance]" caption="Leave Balance" attribute="1" defaultMemberUniqueName="[data 1].[Leave Balance].[All]" allUniqueName="[data 1].[Leave Balance].[All]" dimensionUniqueName="[data 1]" displayFolder="" count="0" memberValueDatatype="20" unbalanced="0"/>
    <cacheHierarchy uniqueName="[data 1].[Years of Service]" caption="Years of Service" attribute="1" defaultMemberUniqueName="[data 1].[Years of Service].[All]" allUniqueName="[data 1].[Years of Service].[All]" dimensionUniqueName="[data 1]" displayFolder="" count="0" memberValueDatatype="5" unbalanced="0"/>
    <cacheHierarchy uniqueName="[data 1].[Age Group]" caption="Age Group" attribute="1" defaultMemberUniqueName="[data 1].[Age Group].[All]" allUniqueName="[data 1].[Age Group].[All]" dimensionUniqueName="[data 1]" displayFolder="" count="0" memberValueDatatype="130" unbalanced="0"/>
    <cacheHierarchy uniqueName="[data 1].[Salary Band]" caption="Salary Band" attribute="1" defaultMemberUniqueName="[data 1].[Salary Band].[All]" allUniqueName="[data 1].[Salary Band].[All]" dimensionUniqueName="[data 1]" displayFolder="" count="0" memberValueDatatype="130" unbalanced="0"/>
    <cacheHierarchy uniqueName="[data 1].[Join Year]" caption="Join Year" attribute="1" defaultMemberUniqueName="[data 1].[Join Year].[All]" allUniqueName="[data 1].[Join Year].[All]" dimensionUniqueName="[data 1]" displayFolder="" count="2" memberValueDatatype="20" unbalanced="0"/>
    <cacheHierarchy uniqueName="[data 1].[Join Month]" caption="Join Month" attribute="1" defaultMemberUniqueName="[data 1].[Join Month].[All]" allUniqueName="[data 1].[Join Month].[All]" dimensionUniqueName="[data 1]" displayFolder="" count="0" memberValueDatatype="130" unbalanced="0"/>
    <cacheHierarchy uniqueName="[data 1].[Quarter]" caption="Quarter" attribute="1" defaultMemberUniqueName="[data 1].[Quarter].[All]" allUniqueName="[data 1].[Quarter].[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Salary]" caption="Sum of Salary" measure="1" displayFolder="" measureGroup="data 1"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data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data 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Years of Service]" caption="Sum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Average of Years of Service]" caption="Average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Sum of Leave Balance]" caption="Sum of Leave Balance" measure="1" displayFolder="" measureGroup="data 1" count="0" hidden="1">
      <extLst>
        <ext xmlns:x15="http://schemas.microsoft.com/office/spreadsheetml/2010/11/main" uri="{B97F6D7D-B522-45F9-BDA1-12C45D357490}">
          <x15:cacheHierarchy aggregatedColumn="23"/>
        </ext>
      </extLst>
    </cacheHierarchy>
    <cacheHierarchy uniqueName="[Measures].[Average of Leave Balance]" caption="Average of Leave Balance" measure="1" displayFolder="" measureGroup="data 1" count="0" hidden="1">
      <extLst>
        <ext xmlns:x15="http://schemas.microsoft.com/office/spreadsheetml/2010/11/main" uri="{B97F6D7D-B522-45F9-BDA1-12C45D357490}">
          <x15:cacheHierarchy aggregatedColumn="23"/>
        </ext>
      </extLst>
    </cacheHierarchy>
    <cacheHierarchy uniqueName="[Measures].[Count of Emp ID]" caption="Count of Emp ID" measure="1" displayFolder="" measureGroup="data 1" count="0" hidden="1">
      <extLst>
        <ext xmlns:x15="http://schemas.microsoft.com/office/spreadsheetml/2010/11/main" uri="{B97F6D7D-B522-45F9-BDA1-12C45D357490}">
          <x15:cacheHierarchy aggregatedColumn="15"/>
        </ext>
      </extLst>
    </cacheHierarchy>
    <cacheHierarchy uniqueName="[Measures].[Sum of Join Year]" caption="Sum of Join Year" measure="1" displayFolder="" measureGroup="data 1" count="0" hidden="1">
      <extLst>
        <ext xmlns:x15="http://schemas.microsoft.com/office/spreadsheetml/2010/11/main" uri="{B97F6D7D-B522-45F9-BDA1-12C45D357490}">
          <x15:cacheHierarchy aggregatedColumn="27"/>
        </ext>
      </extLst>
    </cacheHierarchy>
    <cacheHierarchy uniqueName="[Measures].[Count of Join Month]" caption="Count of Join Month" measure="1" displayFolder="" measureGroup="data 1" count="0" hidden="1">
      <extLst>
        <ext xmlns:x15="http://schemas.microsoft.com/office/spreadsheetml/2010/11/main" uri="{B97F6D7D-B522-45F9-BDA1-12C45D357490}">
          <x15:cacheHierarchy aggregatedColumn="28"/>
        </ext>
      </extLst>
    </cacheHierarchy>
    <cacheHierarchy uniqueName="[Measures].[Count of Join Year]" caption="Count of Join Year" measure="1" displayFolder="" measureGroup="data 1" count="0" hidden="1">
      <extLst>
        <ext xmlns:x15="http://schemas.microsoft.com/office/spreadsheetml/2010/11/main" uri="{B97F6D7D-B522-45F9-BDA1-12C45D357490}">
          <x15:cacheHierarchy aggregatedColumn="27"/>
        </ext>
      </extLst>
    </cacheHierarchy>
    <cacheHierarchy uniqueName="[Measures].[Sum of Quarter]" caption="Sum of Quarter" measure="1" displayFolder="" measureGroup="data 1" count="0" hidden="1">
      <extLst>
        <ext xmlns:x15="http://schemas.microsoft.com/office/spreadsheetml/2010/11/main" uri="{B97F6D7D-B522-45F9-BDA1-12C45D357490}">
          <x15:cacheHierarchy aggregatedColumn="29"/>
        </ext>
      </extLst>
    </cacheHierarchy>
  </cacheHierarchies>
  <kpis count="0"/>
  <dimensions count="3">
    <dimension name="data" uniqueName="[data]" caption="data"/>
    <dimension name="data 1" uniqueName="[data 1]" caption="data 1"/>
    <dimension measure="1" name="Measures" uniqueName="[Measures]" caption="Measures"/>
  </dimensions>
  <measureGroups count="2">
    <measureGroup name="data" caption="data"/>
    <measureGroup name="data 1" caption="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adr" refreshedDate="46187.706364004633" backgroundQuery="1" createdVersion="3" refreshedVersion="8" minRefreshableVersion="3" recordCount="0" supportSubquery="1" supportAdvancedDrill="1" xr:uid="{BBC3AC0C-9093-4233-953D-57126FAB35D3}">
  <cacheSource type="external" connectionId="3">
    <extLst>
      <ext xmlns:x14="http://schemas.microsoft.com/office/spreadsheetml/2009/9/main" uri="{F057638F-6D5F-4e77-A914-E7F072B9BCA8}">
        <x14:sourceConnection name="ThisWorkbookDataModel"/>
      </ext>
    </extLst>
  </cacheSource>
  <cacheFields count="0"/>
  <cacheHierarchies count="42">
    <cacheHierarchy uniqueName="[data].[Emp ID]" caption="Emp ID" attribute="1" defaultMemberUniqueName="[data].[Emp ID].[All]" allUniqueName="[data].[Emp ID].[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Education Qualification]" caption="Education Qualification" attribute="1" defaultMemberUniqueName="[data].[Education Qualification].[All]" allUniqueName="[data].[Education Qualification].[All]" dimensionUniqueName="[data]" displayFolder="" count="0" memberValueDatatype="130" unbalanced="0"/>
    <cacheHierarchy uniqueName="[data].[Date of Join]" caption="Date of Join" attribute="1" time="1" defaultMemberUniqueName="[data].[Date of Join].[All]" allUniqueName="[data].[Date of Join].[All]" dimensionUniqueName="[data]" displayFolder="" count="0" memberValueDatatype="7" unbalanced="0"/>
    <cacheHierarchy uniqueName="[data].[Job Title]" caption="Job Title" attribute="1" defaultMemberUniqueName="[data].[Job Title].[All]" allUniqueName="[data].[Job Titl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Age]" caption="Age" attribute="1" defaultMemberUniqueName="[data].[Age].[All]" allUniqueName="[data].[Age].[All]" dimensionUniqueName="[data]" displayFolder="" count="0" memberValueDatatype="5" unbalanced="0"/>
    <cacheHierarchy uniqueName="[data].[Leave Balance]" caption="Leave Balance" attribute="1" defaultMemberUniqueName="[data].[Leave Balance].[All]" allUniqueName="[data].[Leave Balance].[All]" dimensionUniqueName="[data]" displayFolder="" count="0" memberValueDatatype="20" unbalanced="0"/>
    <cacheHierarchy uniqueName="[data].[Years of Service]" caption="Years of Service" attribute="1" defaultMemberUniqueName="[data].[Years of Service].[All]" allUniqueName="[data].[Years of Service].[All]" dimensionUniqueName="[data]" displayFolder="" count="0" memberValueDatatype="5" unbalanced="0"/>
    <cacheHierarchy uniqueName="[data].[Age Group]" caption="Age Group" attribute="1" defaultMemberUniqueName="[data].[Age Group].[All]" allUniqueName="[data].[Age Group].[All]" dimensionUniqueName="[data]" displayFolder="" count="0" memberValueDatatype="130" unbalanced="0"/>
    <cacheHierarchy uniqueName="[data].[Salary Band]" caption="Salary Band" attribute="1" defaultMemberUniqueName="[data].[Salary Band].[All]" allUniqueName="[data].[Salary Band].[All]" dimensionUniqueName="[data]" displayFolder="" count="0" memberValueDatatype="130" unbalanced="0"/>
    <cacheHierarchy uniqueName="[data].[Join Year]" caption="Join Year" attribute="1" defaultMemberUniqueName="[data].[Join Year].[All]" allUniqueName="[data].[Join Year].[All]" dimensionUniqueName="[data]" displayFolder="" count="0" memberValueDatatype="20" unbalanced="0"/>
    <cacheHierarchy uniqueName="[data].[Join Month]" caption="Join Month" attribute="1" defaultMemberUniqueName="[data].[Join Month].[All]" allUniqueName="[data].[Join Month].[All]" dimensionUniqueName="[data]" displayFolder="" count="0" memberValueDatatype="130" unbalanced="0"/>
    <cacheHierarchy uniqueName="[data].[Quarter]" caption="Quarter" attribute="1" defaultMemberUniqueName="[data].[Quarter].[All]" allUniqueName="[data].[Quarter].[All]" dimensionUniqueName="[data]" displayFolder="" count="0" memberValueDatatype="20" unbalanced="0"/>
    <cacheHierarchy uniqueName="[data 1].[Emp ID]" caption="Emp ID" attribute="1" defaultMemberUniqueName="[data 1].[Emp ID].[All]" allUniqueName="[data 1].[Emp ID].[All]" dimensionUniqueName="[data 1]" displayFolder="" count="0" memberValueDatatype="130" unbalanced="0"/>
    <cacheHierarchy uniqueName="[data 1].[Name]" caption="Name" attribute="1" defaultMemberUniqueName="[data 1].[Name].[All]" allUniqueName="[data 1].[Name].[All]" dimensionUniqueName="[data 1]" displayFolder="" count="0" memberValueDatatype="130" unbalanced="0"/>
    <cacheHierarchy uniqueName="[data 1].[Gender]" caption="Gender" attribute="1" defaultMemberUniqueName="[data 1].[Gender].[All]" allUniqueName="[data 1].[Gender].[All]" dimensionUniqueName="[data 1]" displayFolder="" count="2" memberValueDatatype="130" unbalanced="0"/>
    <cacheHierarchy uniqueName="[data 1].[Education Qualification]" caption="Education Qualification" attribute="1" defaultMemberUniqueName="[data 1].[Education Qualification].[All]" allUniqueName="[data 1].[Education Qualification].[All]" dimensionUniqueName="[data 1]" displayFolder="" count="0" memberValueDatatype="130" unbalanced="0"/>
    <cacheHierarchy uniqueName="[data 1].[Date of Join]" caption="Date of Join" attribute="1" time="1" defaultMemberUniqueName="[data 1].[Date of Join].[All]" allUniqueName="[data 1].[Date of Join].[All]" dimensionUniqueName="[data 1]" displayFolder="" count="0" memberValueDatatype="7" unbalanced="0"/>
    <cacheHierarchy uniqueName="[data 1].[Job Title]" caption="Job Title" attribute="1" defaultMemberUniqueName="[data 1].[Job Title].[All]" allUniqueName="[data 1].[Job Title].[All]" dimensionUniqueName="[data 1]" displayFolder="" count="2" memberValueDatatype="130" unbalanced="0"/>
    <cacheHierarchy uniqueName="[data 1].[Salary]" caption="Salary" attribute="1" defaultMemberUniqueName="[data 1].[Salary].[All]" allUniqueName="[data 1].[Salary].[All]" dimensionUniqueName="[data 1]" displayFolder="" count="0" memberValueDatatype="20" unbalanced="0"/>
    <cacheHierarchy uniqueName="[data 1].[Age]" caption="Age" attribute="1" defaultMemberUniqueName="[data 1].[Age].[All]" allUniqueName="[data 1].[Age].[All]" dimensionUniqueName="[data 1]" displayFolder="" count="0" memberValueDatatype="5" unbalanced="0"/>
    <cacheHierarchy uniqueName="[data 1].[Leave Balance]" caption="Leave Balance" attribute="1" defaultMemberUniqueName="[data 1].[Leave Balance].[All]" allUniqueName="[data 1].[Leave Balance].[All]" dimensionUniqueName="[data 1]" displayFolder="" count="0" memberValueDatatype="20" unbalanced="0"/>
    <cacheHierarchy uniqueName="[data 1].[Years of Service]" caption="Years of Service" attribute="1" defaultMemberUniqueName="[data 1].[Years of Service].[All]" allUniqueName="[data 1].[Years of Service].[All]" dimensionUniqueName="[data 1]" displayFolder="" count="0" memberValueDatatype="5" unbalanced="0"/>
    <cacheHierarchy uniqueName="[data 1].[Age Group]" caption="Age Group" attribute="1" defaultMemberUniqueName="[data 1].[Age Group].[All]" allUniqueName="[data 1].[Age Group].[All]" dimensionUniqueName="[data 1]" displayFolder="" count="0" memberValueDatatype="130" unbalanced="0"/>
    <cacheHierarchy uniqueName="[data 1].[Salary Band]" caption="Salary Band" attribute="1" defaultMemberUniqueName="[data 1].[Salary Band].[All]" allUniqueName="[data 1].[Salary Band].[All]" dimensionUniqueName="[data 1]" displayFolder="" count="0" memberValueDatatype="130" unbalanced="0"/>
    <cacheHierarchy uniqueName="[data 1].[Join Year]" caption="Join Year" attribute="1" defaultMemberUniqueName="[data 1].[Join Year].[All]" allUniqueName="[data 1].[Join Year].[All]" dimensionUniqueName="[data 1]" displayFolder="" count="0" memberValueDatatype="20" unbalanced="0"/>
    <cacheHierarchy uniqueName="[data 1].[Join Month]" caption="Join Month" attribute="1" defaultMemberUniqueName="[data 1].[Join Month].[All]" allUniqueName="[data 1].[Join Month].[All]" dimensionUniqueName="[data 1]" displayFolder="" count="0" memberValueDatatype="130" unbalanced="0"/>
    <cacheHierarchy uniqueName="[data 1].[Quarter]" caption="Quarter" attribute="1" defaultMemberUniqueName="[data 1].[Quarter].[All]" allUniqueName="[data 1].[Quarter].[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Salary]" caption="Sum of Salary" measure="1" displayFolder="" measureGroup="data 1"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data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data 1" count="0" hidden="1">
      <extLst>
        <ext xmlns:x15="http://schemas.microsoft.com/office/spreadsheetml/2010/11/main" uri="{B97F6D7D-B522-45F9-BDA1-12C45D357490}">
          <x15:cacheHierarchy aggregatedColumn="21"/>
        </ext>
      </extLst>
    </cacheHierarchy>
    <cacheHierarchy uniqueName="[Measures].[Sum of Years of Service]" caption="Sum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Average of Years of Service]" caption="Average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Sum of Leave Balance]" caption="Sum of Leave Balance" measure="1" displayFolder="" measureGroup="data 1" count="0" hidden="1">
      <extLst>
        <ext xmlns:x15="http://schemas.microsoft.com/office/spreadsheetml/2010/11/main" uri="{B97F6D7D-B522-45F9-BDA1-12C45D357490}">
          <x15:cacheHierarchy aggregatedColumn="23"/>
        </ext>
      </extLst>
    </cacheHierarchy>
    <cacheHierarchy uniqueName="[Measures].[Average of Leave Balance]" caption="Average of Leave Balance" measure="1" displayFolder="" measureGroup="data 1" count="0" hidden="1">
      <extLst>
        <ext xmlns:x15="http://schemas.microsoft.com/office/spreadsheetml/2010/11/main" uri="{B97F6D7D-B522-45F9-BDA1-12C45D357490}">
          <x15:cacheHierarchy aggregatedColumn="23"/>
        </ext>
      </extLst>
    </cacheHierarchy>
    <cacheHierarchy uniqueName="[Measures].[Count of Emp ID]" caption="Count of Emp ID" measure="1" displayFolder="" measureGroup="data 1" count="0" hidden="1">
      <extLst>
        <ext xmlns:x15="http://schemas.microsoft.com/office/spreadsheetml/2010/11/main" uri="{B97F6D7D-B522-45F9-BDA1-12C45D357490}">
          <x15:cacheHierarchy aggregatedColumn="15"/>
        </ext>
      </extLst>
    </cacheHierarchy>
    <cacheHierarchy uniqueName="[Measures].[Sum of Join Year]" caption="Sum of Join Year" measure="1" displayFolder="" measureGroup="data 1"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1143807907"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Badr" refreshedDate="46187.706371296299" backgroundQuery="1" createdVersion="3" refreshedVersion="8" minRefreshableVersion="3" recordCount="0" supportSubquery="1" supportAdvancedDrill="1" xr:uid="{06CE89CA-6595-4D8C-B68E-1AC50AA715C6}">
  <cacheSource type="external" connectionId="3">
    <extLst>
      <ext xmlns:x14="http://schemas.microsoft.com/office/spreadsheetml/2009/9/main" uri="{F057638F-6D5F-4e77-A914-E7F072B9BCA8}">
        <x14:sourceConnection name="ThisWorkbookDataModel"/>
      </ext>
    </extLst>
  </cacheSource>
  <cacheFields count="0"/>
  <cacheHierarchies count="42">
    <cacheHierarchy uniqueName="[data].[Emp ID]" caption="Emp ID" attribute="1" defaultMemberUniqueName="[data].[Emp ID].[All]" allUniqueName="[data].[Emp ID].[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Education Qualification]" caption="Education Qualification" attribute="1" defaultMemberUniqueName="[data].[Education Qualification].[All]" allUniqueName="[data].[Education Qualification].[All]" dimensionUniqueName="[data]" displayFolder="" count="0" memberValueDatatype="130" unbalanced="0"/>
    <cacheHierarchy uniqueName="[data].[Date of Join]" caption="Date of Join" attribute="1" time="1" defaultMemberUniqueName="[data].[Date of Join].[All]" allUniqueName="[data].[Date of Join].[All]" dimensionUniqueName="[data]" displayFolder="" count="0" memberValueDatatype="7" unbalanced="0"/>
    <cacheHierarchy uniqueName="[data].[Job Title]" caption="Job Title" attribute="1" defaultMemberUniqueName="[data].[Job Title].[All]" allUniqueName="[data].[Job Title].[All]" dimensionUniqueName="[data]" displayFolder="" count="0" memberValueDatatype="130" unbalanced="0"/>
    <cacheHierarchy uniqueName="[data].[Salary]" caption="Salary" attribute="1" defaultMemberUniqueName="[data].[Salary].[All]" allUniqueName="[data].[Salary].[All]" dimensionUniqueName="[data]" displayFolder="" count="0" memberValueDatatype="20" unbalanced="0"/>
    <cacheHierarchy uniqueName="[data].[Age]" caption="Age" attribute="1" defaultMemberUniqueName="[data].[Age].[All]" allUniqueName="[data].[Age].[All]" dimensionUniqueName="[data]" displayFolder="" count="0" memberValueDatatype="5" unbalanced="0"/>
    <cacheHierarchy uniqueName="[data].[Leave Balance]" caption="Leave Balance" attribute="1" defaultMemberUniqueName="[data].[Leave Balance].[All]" allUniqueName="[data].[Leave Balance].[All]" dimensionUniqueName="[data]" displayFolder="" count="0" memberValueDatatype="20" unbalanced="0"/>
    <cacheHierarchy uniqueName="[data].[Years of Service]" caption="Years of Service" attribute="1" defaultMemberUniqueName="[data].[Years of Service].[All]" allUniqueName="[data].[Years of Service].[All]" dimensionUniqueName="[data]" displayFolder="" count="0" memberValueDatatype="5" unbalanced="0"/>
    <cacheHierarchy uniqueName="[data].[Age Group]" caption="Age Group" attribute="1" defaultMemberUniqueName="[data].[Age Group].[All]" allUniqueName="[data].[Age Group].[All]" dimensionUniqueName="[data]" displayFolder="" count="0" memberValueDatatype="130" unbalanced="0"/>
    <cacheHierarchy uniqueName="[data].[Salary Band]" caption="Salary Band" attribute="1" defaultMemberUniqueName="[data].[Salary Band].[All]" allUniqueName="[data].[Salary Band].[All]" dimensionUniqueName="[data]" displayFolder="" count="0" memberValueDatatype="130" unbalanced="0"/>
    <cacheHierarchy uniqueName="[data].[Join Year]" caption="Join Year" attribute="1" defaultMemberUniqueName="[data].[Join Year].[All]" allUniqueName="[data].[Join Year].[All]" dimensionUniqueName="[data]" displayFolder="" count="0" memberValueDatatype="20" unbalanced="0"/>
    <cacheHierarchy uniqueName="[data].[Join Month]" caption="Join Month" attribute="1" defaultMemberUniqueName="[data].[Join Month].[All]" allUniqueName="[data].[Join Month].[All]" dimensionUniqueName="[data]" displayFolder="" count="0" memberValueDatatype="130" unbalanced="0"/>
    <cacheHierarchy uniqueName="[data].[Quarter]" caption="Quarter" attribute="1" defaultMemberUniqueName="[data].[Quarter].[All]" allUniqueName="[data].[Quarter].[All]" dimensionUniqueName="[data]" displayFolder="" count="0" memberValueDatatype="20" unbalanced="0"/>
    <cacheHierarchy uniqueName="[data 1].[Emp ID]" caption="Emp ID" attribute="1" defaultMemberUniqueName="[data 1].[Emp ID].[All]" allUniqueName="[data 1].[Emp ID].[All]" dimensionUniqueName="[data 1]" displayFolder="" count="0" memberValueDatatype="130" unbalanced="0"/>
    <cacheHierarchy uniqueName="[data 1].[Name]" caption="Name" attribute="1" defaultMemberUniqueName="[data 1].[Name].[All]" allUniqueName="[data 1].[Name].[All]" dimensionUniqueName="[data 1]" displayFolder="" count="0" memberValueDatatype="130" unbalanced="0"/>
    <cacheHierarchy uniqueName="[data 1].[Gender]" caption="Gender" attribute="1" defaultMemberUniqueName="[data 1].[Gender].[All]" allUniqueName="[data 1].[Gender].[All]" dimensionUniqueName="[data 1]" displayFolder="" count="0" memberValueDatatype="130" unbalanced="0"/>
    <cacheHierarchy uniqueName="[data 1].[Education Qualification]" caption="Education Qualification" attribute="1" defaultMemberUniqueName="[data 1].[Education Qualification].[All]" allUniqueName="[data 1].[Education Qualification].[All]" dimensionUniqueName="[data 1]" displayFolder="" count="2" memberValueDatatype="130" unbalanced="0"/>
    <cacheHierarchy uniqueName="[data 1].[Date of Join]" caption="Date of Join" attribute="1" time="1" defaultMemberUniqueName="[data 1].[Date of Join].[All]" allUniqueName="[data 1].[Date of Join].[All]" dimensionUniqueName="[data 1]" displayFolder="" count="0" memberValueDatatype="7" unbalanced="0"/>
    <cacheHierarchy uniqueName="[data 1].[Job Title]" caption="Job Title" attribute="1" defaultMemberUniqueName="[data 1].[Job Title].[All]" allUniqueName="[data 1].[Job Title].[All]" dimensionUniqueName="[data 1]" displayFolder="" count="0" memberValueDatatype="130" unbalanced="0"/>
    <cacheHierarchy uniqueName="[data 1].[Salary]" caption="Salary" attribute="1" defaultMemberUniqueName="[data 1].[Salary].[All]" allUniqueName="[data 1].[Salary].[All]" dimensionUniqueName="[data 1]" displayFolder="" count="0" memberValueDatatype="20" unbalanced="0"/>
    <cacheHierarchy uniqueName="[data 1].[Age]" caption="Age" attribute="1" defaultMemberUniqueName="[data 1].[Age].[All]" allUniqueName="[data 1].[Age].[All]" dimensionUniqueName="[data 1]" displayFolder="" count="0" memberValueDatatype="5" unbalanced="0"/>
    <cacheHierarchy uniqueName="[data 1].[Leave Balance]" caption="Leave Balance" attribute="1" defaultMemberUniqueName="[data 1].[Leave Balance].[All]" allUniqueName="[data 1].[Leave Balance].[All]" dimensionUniqueName="[data 1]" displayFolder="" count="0" memberValueDatatype="20" unbalanced="0"/>
    <cacheHierarchy uniqueName="[data 1].[Years of Service]" caption="Years of Service" attribute="1" defaultMemberUniqueName="[data 1].[Years of Service].[All]" allUniqueName="[data 1].[Years of Service].[All]" dimensionUniqueName="[data 1]" displayFolder="" count="0" memberValueDatatype="5" unbalanced="0"/>
    <cacheHierarchy uniqueName="[data 1].[Age Group]" caption="Age Group" attribute="1" defaultMemberUniqueName="[data 1].[Age Group].[All]" allUniqueName="[data 1].[Age Group].[All]" dimensionUniqueName="[data 1]" displayFolder="" count="0" memberValueDatatype="130" unbalanced="0"/>
    <cacheHierarchy uniqueName="[data 1].[Salary Band]" caption="Salary Band" attribute="1" defaultMemberUniqueName="[data 1].[Salary Band].[All]" allUniqueName="[data 1].[Salary Band].[All]" dimensionUniqueName="[data 1]" displayFolder="" count="0" memberValueDatatype="130" unbalanced="0"/>
    <cacheHierarchy uniqueName="[data 1].[Join Year]" caption="Join Year" attribute="1" defaultMemberUniqueName="[data 1].[Join Year].[All]" allUniqueName="[data 1].[Join Year].[All]" dimensionUniqueName="[data 1]" displayFolder="" count="2" memberValueDatatype="20" unbalanced="0"/>
    <cacheHierarchy uniqueName="[data 1].[Join Month]" caption="Join Month" attribute="1" defaultMemberUniqueName="[data 1].[Join Month].[All]" allUniqueName="[data 1].[Join Month].[All]" dimensionUniqueName="[data 1]" displayFolder="" count="0" memberValueDatatype="130" unbalanced="0"/>
    <cacheHierarchy uniqueName="[data 1].[Quarter]" caption="Quarter" attribute="1" defaultMemberUniqueName="[data 1].[Quarter].[All]" allUniqueName="[data 1].[Quarter].[All]" dimensionUniqueName="[data 1]" displayFolder="" count="0" memberValueDatatype="20" unbalanced="0"/>
    <cacheHierarchy uniqueName="[Measures].[__XL_Count data]" caption="__XL_Count data" measure="1" displayFolder="" measureGroup="data" count="0" hidden="1"/>
    <cacheHierarchy uniqueName="[Measures].[__XL_Count data 1]" caption="__XL_Count data 1" measure="1" displayFolder="" measureGroup="data 1" count="0" hidden="1"/>
    <cacheHierarchy uniqueName="[Measures].[__No measures defined]" caption="__No measures defined" measure="1" displayFolder="" count="0" hidden="1"/>
    <cacheHierarchy uniqueName="[Measures].[Sum of Salary]" caption="Sum of Salary" measure="1" displayFolder="" measureGroup="data 1"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data 1"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data 1" count="0" hidden="1">
      <extLst>
        <ext xmlns:x15="http://schemas.microsoft.com/office/spreadsheetml/2010/11/main" uri="{B97F6D7D-B522-45F9-BDA1-12C45D357490}">
          <x15:cacheHierarchy aggregatedColumn="21"/>
        </ext>
      </extLst>
    </cacheHierarchy>
    <cacheHierarchy uniqueName="[Measures].[Sum of Years of Service]" caption="Sum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Average of Years of Service]" caption="Average of Years of Service" measure="1" displayFolder="" measureGroup="data 1" count="0" hidden="1">
      <extLst>
        <ext xmlns:x15="http://schemas.microsoft.com/office/spreadsheetml/2010/11/main" uri="{B97F6D7D-B522-45F9-BDA1-12C45D357490}">
          <x15:cacheHierarchy aggregatedColumn="24"/>
        </ext>
      </extLst>
    </cacheHierarchy>
    <cacheHierarchy uniqueName="[Measures].[Sum of Leave Balance]" caption="Sum of Leave Balance" measure="1" displayFolder="" measureGroup="data 1" count="0" hidden="1">
      <extLst>
        <ext xmlns:x15="http://schemas.microsoft.com/office/spreadsheetml/2010/11/main" uri="{B97F6D7D-B522-45F9-BDA1-12C45D357490}">
          <x15:cacheHierarchy aggregatedColumn="23"/>
        </ext>
      </extLst>
    </cacheHierarchy>
    <cacheHierarchy uniqueName="[Measures].[Average of Leave Balance]" caption="Average of Leave Balance" measure="1" displayFolder="" measureGroup="data 1" count="0" hidden="1">
      <extLst>
        <ext xmlns:x15="http://schemas.microsoft.com/office/spreadsheetml/2010/11/main" uri="{B97F6D7D-B522-45F9-BDA1-12C45D357490}">
          <x15:cacheHierarchy aggregatedColumn="23"/>
        </ext>
      </extLst>
    </cacheHierarchy>
    <cacheHierarchy uniqueName="[Measures].[Count of Emp ID]" caption="Count of Emp ID" measure="1" displayFolder="" measureGroup="data 1" count="0" hidden="1">
      <extLst>
        <ext xmlns:x15="http://schemas.microsoft.com/office/spreadsheetml/2010/11/main" uri="{B97F6D7D-B522-45F9-BDA1-12C45D357490}">
          <x15:cacheHierarchy aggregatedColumn="15"/>
        </ext>
      </extLst>
    </cacheHierarchy>
    <cacheHierarchy uniqueName="[Measures].[Sum of Join Year]" caption="Sum of Join Year" measure="1" displayFolder="" measureGroup="data 1"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3388493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6D4EBC-8F0A-4FF1-9F61-48AC7179533C}" name="PivotTable9"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alary Band">
  <location ref="J25:K3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Emp ID" fld="0" subtotal="count"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yroll Cost"/>
    <pivotHierarchy dragToData="1"/>
    <pivotHierarchy dragToData="1"/>
    <pivotHierarchy dragToData="1"/>
    <pivotHierarchy dragToData="1"/>
    <pivotHierarchy dragToData="1"/>
    <pivotHierarchy dragToData="1"/>
    <pivotHierarchy dragToData="1" caption="Count of Employe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Project.xlsx!data">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26F2BF-3693-4E88-9ACD-FA7F3E162A7B}" name="PivotTable5"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Leave Balance" fld="0" subtotal="average" baseField="0" baseItem="0"/>
  </dataFields>
  <formats count="1">
    <format dxfId="11">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Employees"/>
    <pivotHierarchy dragToData="1" caption="Total Employees"/>
    <pivotHierarchy dragToData="1" caption="Average Salary"/>
    <pivotHierarchy dragToData="1"/>
    <pivotHierarchy dragToData="1" caption="Average Years of Service"/>
    <pivotHierarchy dragToData="1"/>
    <pivotHierarchy dragToData="1" caption="Average Leave Balanc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Project.xlsx!data">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ABA5D0-1377-43FC-B297-6FA9426B810E}" name="PivotTable4"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Years of Service" fld="0" subtotal="average" baseField="0" baseItem="0"/>
  </dataFields>
  <formats count="1">
    <format dxfId="12">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Employees"/>
    <pivotHierarchy dragToData="1" caption="Total Employees"/>
    <pivotHierarchy dragToData="1" caption="Average Salary"/>
    <pivotHierarchy dragToData="1"/>
    <pivotHierarchy dragToData="1" caption="Average Years of Servic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Project.xlsx!data">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FF669B-2B50-4851-BD1B-0100B60811BE}" name="PivotTable10"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Age Group">
  <location ref="D9:E1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Emp ID" fld="0" subtotal="count" baseField="0" baseItem="0"/>
  </dataFields>
  <chartFormats count="14">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 count="1" selected="0">
            <x v="0"/>
          </reference>
        </references>
      </pivotArea>
    </chartFormat>
    <chartFormat chart="12" format="2">
      <pivotArea type="data" outline="0" fieldPosition="0">
        <references count="2">
          <reference field="4294967294" count="1" selected="0">
            <x v="0"/>
          </reference>
          <reference field="1" count="1" selected="0">
            <x v="1"/>
          </reference>
        </references>
      </pivotArea>
    </chartFormat>
    <chartFormat chart="12" format="3">
      <pivotArea type="data" outline="0" fieldPosition="0">
        <references count="2">
          <reference field="4294967294" count="1" selected="0">
            <x v="0"/>
          </reference>
          <reference field="1" count="1" selected="0">
            <x v="2"/>
          </reference>
        </references>
      </pivotArea>
    </chartFormat>
    <chartFormat chart="12" format="4">
      <pivotArea type="data" outline="0" fieldPosition="0">
        <references count="2">
          <reference field="4294967294" count="1" selected="0">
            <x v="0"/>
          </reference>
          <reference field="1" count="1" selected="0">
            <x v="3"/>
          </reference>
        </references>
      </pivotArea>
    </chartFormat>
    <chartFormat chart="16" format="4" series="1">
      <pivotArea type="data" outline="0" fieldPosition="0">
        <references count="1">
          <reference field="4294967294" count="1" selected="0">
            <x v="0"/>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1" count="1" selected="0">
            <x v="0"/>
          </reference>
        </references>
      </pivotArea>
    </chartFormat>
    <chartFormat chart="18" format="12">
      <pivotArea type="data" outline="0" fieldPosition="0">
        <references count="2">
          <reference field="4294967294" count="1" selected="0">
            <x v="0"/>
          </reference>
          <reference field="1" count="1" selected="0">
            <x v="1"/>
          </reference>
        </references>
      </pivotArea>
    </chartFormat>
    <chartFormat chart="18" format="13">
      <pivotArea type="data" outline="0" fieldPosition="0">
        <references count="2">
          <reference field="4294967294" count="1" selected="0">
            <x v="0"/>
          </reference>
          <reference field="1" count="1" selected="0">
            <x v="2"/>
          </reference>
        </references>
      </pivotArea>
    </chartFormat>
    <chartFormat chart="18" format="14">
      <pivotArea type="data" outline="0" fieldPosition="0">
        <references count="2">
          <reference field="4294967294" count="1" selected="0">
            <x v="0"/>
          </reference>
          <reference field="1" count="1" selected="0">
            <x v="3"/>
          </reference>
        </references>
      </pivotArea>
    </chartFormat>
    <chartFormat chart="20" format="6"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yroll Cost"/>
    <pivotHierarchy dragToData="1"/>
    <pivotHierarchy dragToData="1"/>
    <pivotHierarchy dragToData="1"/>
    <pivotHierarchy dragToData="1"/>
    <pivotHierarchy dragToData="1"/>
    <pivotHierarchy dragToData="1"/>
    <pivotHierarchy dragToData="1" caption="Count of Employe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Project.xlsx!data">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802405-A44B-480E-8F4D-683EA09A1088}" name="PivotTable7"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Job Title">
  <location ref="G9:H20"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Average of Salary" fld="1" subtotal="average" baseField="0" baseItem="0" numFmtId="164"/>
  </dataFields>
  <formats count="1">
    <format dxfId="13">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yroll Cost"/>
    <pivotHierarchy dragToData="1"/>
    <pivotHierarchy dragToData="1" caption="Average of Salary"/>
    <pivotHierarchy dragToData="1"/>
    <pivotHierarchy dragToData="1"/>
    <pivotHierarchy dragToData="1"/>
    <pivotHierarchy dragToData="1"/>
    <pivotHierarchy dragToData="1" caption="Count of Employe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Project.xlsx!data">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ABA901-1D36-4533-939C-77D63B0FE6D8}" name="PivotTable2"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Employees"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Employees"/>
    <pivotHierarchy dragToData="1" caption="Total Employees"/>
    <pivotHierarchy dragToData="1"/>
    <pivotHierarchy dragToData="1"/>
    <pivotHierarchy dragToData="1"/>
    <pivotHierarchy dragToData="1"/>
    <pivotHierarchy dragToData="1"/>
    <pivotHierarchy dragToData="1" caption="Total Employe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Project.xlsx!data">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EFD529-C05A-489A-AF2C-644A5B28DDBD}" name="PivotTable3"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Salary" fld="0" subtotal="average" baseField="0" baseItem="0" numFmtId="164"/>
  </dataFields>
  <formats count="1">
    <format dxfId="14">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Employees"/>
    <pivotHierarchy dragToData="1" caption="Total Employees"/>
    <pivotHierarchy dragToData="1" caption="Average Salar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Project.xlsx!data">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CE6F1F-AFBF-4312-A264-2D3573B34A1D}" name="PivotTable8" cacheId="4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1" rowHeaderCaption="Education">
  <location ref="A24:B29" firstHeaderRow="1" firstDataRow="1" firstDataCol="1"/>
  <pivotFields count="4">
    <pivotField dataField="1" subtotalTop="0" showAll="0" defaultSubtotal="0"/>
    <pivotField allDrilled="1" subtotalTop="0" showAll="0" sortType="descending" defaultSubtotal="0" defaultAttributeDrillState="1">
      <items count="12">
        <item x="2"/>
        <item x="9"/>
        <item x="10"/>
        <item x="11"/>
        <item x="1"/>
        <item x="5"/>
        <item x="6"/>
        <item x="8"/>
        <item x="0"/>
        <item x="7"/>
        <item x="3"/>
        <item x="4"/>
      </items>
    </pivotField>
    <pivotField axis="axisRow" allDrilled="1" subtotalTop="0" showAll="0" sortType="descending" defaultSubtotal="0" defaultAttributeDrillState="1">
      <items count="4">
        <item x="3"/>
        <item x="2"/>
        <item x="1"/>
        <item x="0"/>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Count of Emp ID" fld="0" subtotal="count" baseField="0" baseItem="0"/>
  </dataFields>
  <chartFormats count="2">
    <chartFormat chart="25" format="0"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yroll Cost"/>
    <pivotHierarchy dragToData="1"/>
    <pivotHierarchy dragToData="1"/>
    <pivotHierarchy dragToData="1"/>
    <pivotHierarchy dragToData="1"/>
    <pivotHierarchy dragToData="1"/>
    <pivotHierarchy dragToData="1"/>
    <pivotHierarchy dragToData="1" caption="Count of Employees"/>
    <pivotHierarchy dragToData="1"/>
    <pivotHierarchy dragToData="1"/>
    <pivotHierarchy dragToData="1" caption="Count of Join Year"/>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Project.xlsx!data">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13F9FB-F00E-45DB-8AE9-18C9DE4C0719}" name="PivotTable6" cacheId="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Job Title">
  <location ref="A9:B20"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Employees"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yroll Cost"/>
    <pivotHierarchy dragToData="1"/>
    <pivotHierarchy dragToData="1"/>
    <pivotHierarchy dragToData="1"/>
    <pivotHierarchy dragToData="1"/>
    <pivotHierarchy dragToData="1"/>
    <pivotHierarchy dragToData="1"/>
    <pivotHierarchy dragToData="1" caption="Count of Employe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Project.xlsx!data">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84F73C-AF59-475F-91EF-782490AE9E4B}" name="PivotTable1" cacheId="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ayroll Cost" fld="0" baseField="0" baseItem="0" numFmtId="164"/>
  </dataFields>
  <formats count="1">
    <format dxfId="15">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yroll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Project.xlsx!data">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D333C6-C7F2-46F5-BE8C-934F58FF23DD}" name="PivotTable11" cacheId="7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2" rowHeaderCaption="Months">
  <location ref="D24:F37" firstHeaderRow="0" firstDataRow="1" firstDataCol="1"/>
  <pivotFields count="5">
    <pivotField dataField="1" subtotalTop="0" showAll="0" defaultSubtotal="0"/>
    <pivotField axis="axisRow" allDrilled="1" subtotalTop="0" showAll="0" sortType="descending" defaultSubtotal="0" defaultAttributeDrillState="1">
      <items count="12">
        <item x="2"/>
        <item x="9"/>
        <item x="10"/>
        <item x="11"/>
        <item x="1"/>
        <item x="5"/>
        <item x="6"/>
        <item x="8"/>
        <item x="0"/>
        <item x="7"/>
        <item x="3"/>
        <item x="4"/>
      </items>
    </pivotField>
    <pivotField allDrilled="1" subtotalTop="0" showAll="0" sortType="descending" defaultSubtotal="0" defaultAttributeDrillState="1">
      <items count="4">
        <item x="3"/>
        <item x="2"/>
        <item x="1"/>
        <item x="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Num of empp" fld="0" subtotal="count" baseField="1" baseItem="0"/>
    <dataField name="Num of Emp" fld="4" subtotal="count" baseField="1" baseItem="0">
      <extLst>
        <ext xmlns:x14="http://schemas.microsoft.com/office/spreadsheetml/2009/9/main" uri="{E15A36E0-9728-4e99-A89B-3F7291B0FE68}">
          <x14:dataField sourceField="0" uniqueName="[__Xl2].[Measures].[Count of Emp ID]"/>
        </ext>
      </extLst>
    </dataField>
  </dataFields>
  <chartFormats count="6">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40" format="3"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yroll Cost"/>
    <pivotHierarchy dragToData="1"/>
    <pivotHierarchy dragToData="1"/>
    <pivotHierarchy dragToData="1"/>
    <pivotHierarchy dragToData="1"/>
    <pivotHierarchy dragToData="1"/>
    <pivotHierarchy dragToData="1"/>
    <pivotHierarchy dragToData="1" caption="Num of empp"/>
    <pivotHierarchy dragToData="1"/>
    <pivotHierarchy dragToData="1"/>
    <pivotHierarchy dragToData="1" caption="Count of Join Year"/>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Project.xlsx!data">
        <x15:activeTabTopLevelEntity name="[data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B9D327B-15EF-4D26-B354-6BF12AFBFD74}" autoFormatId="16" applyNumberFormats="0" applyBorderFormats="0" applyFontFormats="0" applyPatternFormats="0" applyAlignmentFormats="0" applyWidthHeightFormats="0">
  <queryTableRefresh nextId="22">
    <queryTableFields count="15">
      <queryTableField id="1" name="Emp ID" tableColumnId="1"/>
      <queryTableField id="2" name="Name" tableColumnId="2"/>
      <queryTableField id="3" name="Gender" tableColumnId="3"/>
      <queryTableField id="4" name="Education Qualification" tableColumnId="4"/>
      <queryTableField id="5" name="Date of Join" tableColumnId="5"/>
      <queryTableField id="6" name="Job Title" tableColumnId="6"/>
      <queryTableField id="7" name="Salary" tableColumnId="7"/>
      <queryTableField id="8" name="Age" tableColumnId="8"/>
      <queryTableField id="9" name="Leave Balance" tableColumnId="9"/>
      <queryTableField id="10" name="Years of Service" tableColumnId="10"/>
      <queryTableField id="11" name="Age Group" tableColumnId="11"/>
      <queryTableField id="12" name="Salary Band" tableColumnId="12"/>
      <queryTableField id="18" name="Join Year" tableColumnId="14"/>
      <queryTableField id="19" name="Join Month" tableColumnId="16"/>
      <queryTableField id="15" name="Quarter" tableColumnId="15"/>
    </queryTableFields>
  </queryTableRefresh>
  <extLst>
    <ext xmlns:x15="http://schemas.microsoft.com/office/spreadsheetml/2010/11/main" uri="{883FBD77-0823-4a55-B5E3-86C4891E6966}">
      <x15:queryTable sourceDataName="Query -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617366FE-EC1B-4BE3-8012-E7C424785FFF}" sourceName="[data 1].[Job Title]">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 tabId="3" name="PivotTable11"/>
  </pivotTables>
  <data>
    <olap pivotCacheId="1143807907">
      <levels count="2">
        <level uniqueName="[data 1].[Job Title].[(All)]" sourceCaption="(All)" count="0"/>
        <level uniqueName="[data 1].[Job Title].[Job Title]" sourceCaption="Job Title" count="10">
          <ranges>
            <range startItem="0">
              <i n="[data 1].[Job Title].&amp;[Chocolatier]" c="Chocolatier"/>
              <i n="[data 1].[Job Title].&amp;[Marketing Manager]" c="Marketing Manager"/>
              <i n="[data 1].[Job Title].&amp;[Marketing Specialist]" c="Marketing Specialist"/>
              <i n="[data 1].[Job Title].&amp;[Packaging Associate]" c="Packaging Associate"/>
              <i n="[data 1].[Job Title].&amp;[Product Manager]" c="Product Manager"/>
              <i n="[data 1].[Job Title].&amp;[Production Operator]" c="Production Operator"/>
              <i n="[data 1].[Job Title].&amp;[Quality Control]" c="Quality Control"/>
              <i n="[data 1].[Job Title].&amp;[Research Analyst]" c="Research Analyst"/>
              <i n="[data 1].[Job Title].&amp;[Research Scientist]" c="Research Scientist"/>
              <i n="[data 1].[Job Title].&amp;[Sales Representative]" c="Sales Representative"/>
            </range>
          </ranges>
        </level>
      </levels>
      <selections count="1">
        <selection n="[data 1].[Job Title].[All]"/>
      </selections>
    </olap>
  </data>
  <extLst>
    <x:ext xmlns:x15="http://schemas.microsoft.com/office/spreadsheetml/2010/11/main" uri="{470722E0-AACD-4C17-9CDC-17EF765DBC7E}">
      <x15:slicerCacheHideItemsWithNoData count="1">
        <x15:slicerCacheOlapLevelName uniqueName="[data 1].[Job Title].[Job Titl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A36BD37-0BAB-49AF-B536-0AEFEE2799CD}" sourceName="[data 1].[Gender]">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 tabId="3" name="PivotTable11"/>
  </pivotTables>
  <data>
    <olap pivotCacheId="1143807907">
      <levels count="2">
        <level uniqueName="[data 1].[Gender].[(All)]" sourceCaption="(All)" count="0"/>
        <level uniqueName="[data 1].[Gender].[Gender]" sourceCaption="Gender" count="2">
          <ranges>
            <range startItem="0">
              <i n="[data 1].[Gender].&amp;[Female]" c="Female"/>
              <i n="[data 1].[Gender].&amp;[Male]" c="Male"/>
            </range>
          </ranges>
        </level>
      </levels>
      <selections count="1">
        <selection n="[data 1].[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Qualification" xr10:uid="{C54329C6-E586-4739-B687-444B30B1376F}" sourceName="[data 1].[Education Qualification]">
  <pivotTables>
    <pivotTable tabId="3" name="PivotTable8"/>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9"/>
    <pivotTable tabId="3" name="PivotTable11"/>
  </pivotTables>
  <data>
    <olap pivotCacheId="338849390">
      <levels count="2">
        <level uniqueName="[data 1].[Education Qualification].[(All)]" sourceCaption="(All)" count="0"/>
        <level uniqueName="[data 1].[Education Qualification].[Education Qualification]" sourceCaption="Education Qualification" count="4">
          <ranges>
            <range startItem="0">
              <i n="[data 1].[Education Qualification].&amp;[Bachelor'S Degree]" c="Bachelor'S Degree"/>
              <i n="[data 1].[Education Qualification].&amp;[Diploma]" c="Diploma"/>
              <i n="[data 1].[Education Qualification].&amp;[High School Diploma]" c="High School Diploma"/>
              <i n="[data 1].[Education Qualification].&amp;[Master'S Degree]" c="Master'S Degree"/>
            </range>
          </ranges>
        </level>
      </levels>
      <selections count="1">
        <selection n="[data 1].[Education Qualific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in_Year" xr10:uid="{8DBD2A40-CE83-4B0B-B037-C1935BFFEB4D}" sourceName="[data 1].[Join Year]">
  <pivotTables>
    <pivotTable tabId="3" name="PivotTable8"/>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9"/>
    <pivotTable tabId="3" name="PivotTable11"/>
  </pivotTables>
  <data>
    <olap pivotCacheId="338849390">
      <levels count="2">
        <level uniqueName="[data 1].[Join Year].[(All)]" sourceCaption="(All)" count="0"/>
        <level uniqueName="[data 1].[Join Year].[Join Year]" sourceCaption="Join Year" count="7">
          <ranges>
            <range startItem="0">
              <i n="[data 1].[Join Year].&amp;[2017]" c="2017"/>
              <i n="[data 1].[Join Year].&amp;[2018]" c="2018"/>
              <i n="[data 1].[Join Year].&amp;[2019]" c="2019"/>
              <i n="[data 1].[Join Year].&amp;[2020]" c="2020"/>
              <i n="[data 1].[Join Year].&amp;[2021]" c="2021"/>
              <i n="[data 1].[Join Year].&amp;[2022]" c="2022"/>
              <i n="[data 1].[Join Year].&amp;[2023]" c="2023"/>
            </range>
          </ranges>
        </level>
      </levels>
      <selections count="1">
        <selection n="[data 1].[Join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1" xr10:uid="{3E962E6D-0F76-4990-A28A-354073037E24}" cache="Slicer_Job_Title" caption="Job Title" level="1" style="HR 2" rowHeight="234950"/>
  <slicer name="Gender" xr10:uid="{5495316D-0A1F-4CAE-B522-34AA5008F9D5}" cache="Slicer_Gender" caption="Gender" level="1" style="HR 2" rowHeight="234950"/>
  <slicer name="Education Qualification" xr10:uid="{2CBA988B-902B-4DA0-8C84-1245696A2A7F}" cache="Slicer_Education_Qualification" caption="Education " level="1" style="HR 2" rowHeight="234950"/>
  <slicer name="Join Year" xr10:uid="{A689DF3D-136E-485E-B895-3A3AC78FA63B}" cache="Slicer_Join_Year" caption="Join Year" level="1" style="HR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41013F-E59F-4D6D-BA11-B73D7B0F70B2}" name="data" displayName="data" ref="A1:O162" tableType="queryTable" totalsRowShown="0">
  <autoFilter ref="A1:O162" xr:uid="{4B41013F-E59F-4D6D-BA11-B73D7B0F70B2}"/>
  <tableColumns count="15">
    <tableColumn id="1" xr3:uid="{6168F809-B43A-486D-A774-A79DD7EF1728}" uniqueName="1" name="Emp ID" queryTableFieldId="1" dataDxfId="24"/>
    <tableColumn id="2" xr3:uid="{E160DB38-93EC-4F99-966F-9B18D7A8C71C}" uniqueName="2" name="Name" queryTableFieldId="2" dataDxfId="23"/>
    <tableColumn id="3" xr3:uid="{A6A31C4C-3482-4E4C-B33F-857BED89E1E6}" uniqueName="3" name="Gender" queryTableFieldId="3" dataDxfId="22"/>
    <tableColumn id="4" xr3:uid="{B08C7F8B-7EBA-4DDF-8A28-5837556CB730}" uniqueName="4" name="Education Qualification" queryTableFieldId="4" dataDxfId="21"/>
    <tableColumn id="5" xr3:uid="{25A0CE27-1A09-47D4-B53A-1A8A36856CCE}" uniqueName="5" name="Date of Join" queryTableFieldId="5" dataDxfId="20"/>
    <tableColumn id="6" xr3:uid="{46EE502C-1AE8-4055-8209-F411119FCBA8}" uniqueName="6" name="Job Title" queryTableFieldId="6" dataDxfId="19"/>
    <tableColumn id="7" xr3:uid="{9E141D87-F000-4CBE-A068-2A732C6C95D6}" uniqueName="7" name="Salary" queryTableFieldId="7"/>
    <tableColumn id="8" xr3:uid="{AB76C694-CBDE-4590-8F8B-5511F2886B25}" uniqueName="8" name="Age" queryTableFieldId="8"/>
    <tableColumn id="9" xr3:uid="{02458B63-F451-4808-8573-546BF8EEB5B2}" uniqueName="9" name="Leave Balance" queryTableFieldId="9"/>
    <tableColumn id="10" xr3:uid="{26D48A8D-70AE-4192-B246-B345FFA89178}" uniqueName="10" name="Years of Service" queryTableFieldId="10"/>
    <tableColumn id="11" xr3:uid="{45A4C96F-39C0-40E7-8002-1062435F0940}" uniqueName="11" name="Age Group" queryTableFieldId="11" dataDxfId="18"/>
    <tableColumn id="12" xr3:uid="{949DFFF9-5B57-498E-A035-E7757E5792C4}" uniqueName="12" name="Salary Band" queryTableFieldId="12" dataDxfId="17"/>
    <tableColumn id="14" xr3:uid="{8F79F94A-0CFE-45B8-A3AA-B97BF98216E6}" uniqueName="14" name="Join Year" queryTableFieldId="18"/>
    <tableColumn id="16" xr3:uid="{8740F541-B7B7-46CE-9F56-687BE04B997A}" uniqueName="16" name="Join Month" queryTableFieldId="19" dataDxfId="16"/>
    <tableColumn id="15" xr3:uid="{5F48E2BC-D509-477E-891E-A4453C45CC4B}" uniqueName="15" name="Quarter" queryTableFieldId="1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5731C-8F10-420B-B100-F1E44E277170}">
  <dimension ref="A1:O162"/>
  <sheetViews>
    <sheetView topLeftCell="C1" zoomScale="75" workbookViewId="0">
      <selection activeCell="C1" sqref="A1:XFD1048576"/>
    </sheetView>
  </sheetViews>
  <sheetFormatPr defaultRowHeight="14.4" x14ac:dyDescent="0.3"/>
  <cols>
    <col min="1" max="1" width="10.21875" bestFit="1" customWidth="1"/>
    <col min="2" max="2" width="20.21875" bestFit="1" customWidth="1"/>
    <col min="3" max="3" width="10.44140625" bestFit="1" customWidth="1"/>
    <col min="4" max="4" width="24.6640625" bestFit="1" customWidth="1"/>
    <col min="5" max="5" width="14.33203125" bestFit="1" customWidth="1"/>
    <col min="6" max="6" width="18.6640625" bestFit="1" customWidth="1"/>
    <col min="7" max="7" width="9.33203125" bestFit="1" customWidth="1"/>
    <col min="8" max="8" width="7.21875" bestFit="1" customWidth="1"/>
    <col min="9" max="9" width="16.21875" bestFit="1" customWidth="1"/>
    <col min="10" max="10" width="17.77734375" bestFit="1" customWidth="1"/>
    <col min="11" max="11" width="13.33203125" bestFit="1" customWidth="1"/>
    <col min="12" max="12" width="14.33203125" bestFit="1" customWidth="1"/>
    <col min="13" max="13" width="11.77734375" bestFit="1" customWidth="1"/>
    <col min="14" max="14" width="14" bestFit="1" customWidth="1"/>
    <col min="15" max="16" width="10.88671875" bestFit="1" customWidth="1"/>
    <col min="17" max="17" width="14" bestFit="1" customWidth="1"/>
    <col min="18" max="18" width="10.88671875" bestFit="1" customWidth="1"/>
  </cols>
  <sheetData>
    <row r="1" spans="1:15" x14ac:dyDescent="0.3">
      <c r="A1" t="s">
        <v>0</v>
      </c>
      <c r="B1" t="s">
        <v>1</v>
      </c>
      <c r="C1" t="s">
        <v>2</v>
      </c>
      <c r="D1" t="s">
        <v>3</v>
      </c>
      <c r="E1" t="s">
        <v>4</v>
      </c>
      <c r="F1" t="s">
        <v>5</v>
      </c>
      <c r="G1" t="s">
        <v>6</v>
      </c>
      <c r="H1" t="s">
        <v>7</v>
      </c>
      <c r="I1" t="s">
        <v>8</v>
      </c>
      <c r="J1" t="s">
        <v>334</v>
      </c>
      <c r="K1" t="s">
        <v>335</v>
      </c>
      <c r="L1" t="s">
        <v>336</v>
      </c>
      <c r="M1" t="s">
        <v>337</v>
      </c>
      <c r="N1" t="s">
        <v>338</v>
      </c>
      <c r="O1" t="s">
        <v>339</v>
      </c>
    </row>
    <row r="2" spans="1:15" x14ac:dyDescent="0.3">
      <c r="A2" t="s">
        <v>9</v>
      </c>
      <c r="B2" t="s">
        <v>10</v>
      </c>
      <c r="C2" t="s">
        <v>11</v>
      </c>
      <c r="D2" t="s">
        <v>12</v>
      </c>
      <c r="E2" s="1">
        <v>42836</v>
      </c>
      <c r="F2" t="s">
        <v>13</v>
      </c>
      <c r="G2">
        <v>84700</v>
      </c>
      <c r="H2">
        <v>34.799999999999997</v>
      </c>
      <c r="I2">
        <v>20</v>
      </c>
      <c r="J2">
        <v>9.1999999999999993</v>
      </c>
      <c r="K2" t="s">
        <v>340</v>
      </c>
      <c r="L2" t="s">
        <v>341</v>
      </c>
      <c r="M2">
        <v>2017</v>
      </c>
      <c r="N2" t="s">
        <v>357</v>
      </c>
      <c r="O2">
        <v>2</v>
      </c>
    </row>
    <row r="3" spans="1:15" x14ac:dyDescent="0.3">
      <c r="A3" t="s">
        <v>14</v>
      </c>
      <c r="B3" t="s">
        <v>15</v>
      </c>
      <c r="C3" t="s">
        <v>16</v>
      </c>
      <c r="D3" t="s">
        <v>12</v>
      </c>
      <c r="E3" s="1">
        <v>42848</v>
      </c>
      <c r="F3" t="s">
        <v>13</v>
      </c>
      <c r="G3">
        <v>84800</v>
      </c>
      <c r="H3">
        <v>34.4</v>
      </c>
      <c r="I3">
        <v>18</v>
      </c>
      <c r="J3">
        <v>9.1</v>
      </c>
      <c r="K3" t="s">
        <v>340</v>
      </c>
      <c r="L3" t="s">
        <v>341</v>
      </c>
      <c r="M3">
        <v>2017</v>
      </c>
      <c r="N3" t="s">
        <v>357</v>
      </c>
      <c r="O3">
        <v>2</v>
      </c>
    </row>
    <row r="4" spans="1:15" x14ac:dyDescent="0.3">
      <c r="A4" t="s">
        <v>19</v>
      </c>
      <c r="B4" t="s">
        <v>20</v>
      </c>
      <c r="C4" t="s">
        <v>11</v>
      </c>
      <c r="D4" t="s">
        <v>12</v>
      </c>
      <c r="E4" s="1">
        <v>42896</v>
      </c>
      <c r="F4" t="s">
        <v>21</v>
      </c>
      <c r="G4">
        <v>74200</v>
      </c>
      <c r="H4">
        <v>30.7</v>
      </c>
      <c r="I4">
        <v>17</v>
      </c>
      <c r="J4">
        <v>9</v>
      </c>
      <c r="K4" t="s">
        <v>340</v>
      </c>
      <c r="L4" t="s">
        <v>342</v>
      </c>
      <c r="M4">
        <v>2017</v>
      </c>
      <c r="N4" t="s">
        <v>358</v>
      </c>
      <c r="O4">
        <v>2</v>
      </c>
    </row>
    <row r="5" spans="1:15" x14ac:dyDescent="0.3">
      <c r="A5" t="s">
        <v>22</v>
      </c>
      <c r="B5" t="s">
        <v>23</v>
      </c>
      <c r="C5" t="s">
        <v>11</v>
      </c>
      <c r="D5" t="s">
        <v>12</v>
      </c>
      <c r="E5" s="1">
        <v>42900</v>
      </c>
      <c r="F5" t="s">
        <v>24</v>
      </c>
      <c r="G5">
        <v>37600</v>
      </c>
      <c r="H5">
        <v>37.9</v>
      </c>
      <c r="I5">
        <v>18</v>
      </c>
      <c r="J5">
        <v>9</v>
      </c>
      <c r="K5" t="s">
        <v>340</v>
      </c>
      <c r="L5" t="s">
        <v>343</v>
      </c>
      <c r="M5">
        <v>2017</v>
      </c>
      <c r="N5" t="s">
        <v>358</v>
      </c>
      <c r="O5">
        <v>2</v>
      </c>
    </row>
    <row r="6" spans="1:15" x14ac:dyDescent="0.3">
      <c r="A6" t="s">
        <v>25</v>
      </c>
      <c r="B6" t="s">
        <v>26</v>
      </c>
      <c r="C6" t="s">
        <v>16</v>
      </c>
      <c r="D6" t="s">
        <v>12</v>
      </c>
      <c r="E6" s="1">
        <v>42931</v>
      </c>
      <c r="F6" t="s">
        <v>13</v>
      </c>
      <c r="G6">
        <v>82700</v>
      </c>
      <c r="H6">
        <v>33.5</v>
      </c>
      <c r="I6">
        <v>23</v>
      </c>
      <c r="J6">
        <v>8.9</v>
      </c>
      <c r="K6" t="s">
        <v>340</v>
      </c>
      <c r="L6" t="s">
        <v>341</v>
      </c>
      <c r="M6">
        <v>2017</v>
      </c>
      <c r="N6" t="s">
        <v>359</v>
      </c>
      <c r="O6">
        <v>3</v>
      </c>
    </row>
    <row r="7" spans="1:15" x14ac:dyDescent="0.3">
      <c r="A7" t="s">
        <v>33</v>
      </c>
      <c r="B7" t="s">
        <v>34</v>
      </c>
      <c r="C7" t="s">
        <v>11</v>
      </c>
      <c r="D7" t="s">
        <v>12</v>
      </c>
      <c r="E7" s="1">
        <v>43065</v>
      </c>
      <c r="F7" t="s">
        <v>13</v>
      </c>
      <c r="G7">
        <v>82300</v>
      </c>
      <c r="H7">
        <v>34.4</v>
      </c>
      <c r="I7">
        <v>18</v>
      </c>
      <c r="J7">
        <v>8.6</v>
      </c>
      <c r="K7" t="s">
        <v>340</v>
      </c>
      <c r="L7" t="s">
        <v>341</v>
      </c>
      <c r="M7">
        <v>2017</v>
      </c>
      <c r="N7" t="s">
        <v>360</v>
      </c>
      <c r="O7">
        <v>4</v>
      </c>
    </row>
    <row r="8" spans="1:15" x14ac:dyDescent="0.3">
      <c r="A8" t="s">
        <v>35</v>
      </c>
      <c r="B8" t="s">
        <v>36</v>
      </c>
      <c r="C8" t="s">
        <v>11</v>
      </c>
      <c r="D8" t="s">
        <v>12</v>
      </c>
      <c r="E8" s="1">
        <v>43196</v>
      </c>
      <c r="F8" t="s">
        <v>21</v>
      </c>
      <c r="G8">
        <v>70800</v>
      </c>
      <c r="H8">
        <v>36.799999999999997</v>
      </c>
      <c r="I8">
        <v>18</v>
      </c>
      <c r="J8">
        <v>8.1999999999999993</v>
      </c>
      <c r="K8" t="s">
        <v>340</v>
      </c>
      <c r="L8" t="s">
        <v>342</v>
      </c>
      <c r="M8">
        <v>2018</v>
      </c>
      <c r="N8" t="s">
        <v>357</v>
      </c>
      <c r="O8">
        <v>2</v>
      </c>
    </row>
    <row r="9" spans="1:15" x14ac:dyDescent="0.3">
      <c r="A9" t="s">
        <v>37</v>
      </c>
      <c r="B9" t="s">
        <v>38</v>
      </c>
      <c r="C9" t="s">
        <v>11</v>
      </c>
      <c r="D9" t="s">
        <v>12</v>
      </c>
      <c r="E9" s="1">
        <v>43198</v>
      </c>
      <c r="F9" t="s">
        <v>39</v>
      </c>
      <c r="G9">
        <v>77300</v>
      </c>
      <c r="H9">
        <v>30.3</v>
      </c>
      <c r="I9">
        <v>23</v>
      </c>
      <c r="J9">
        <v>8.1999999999999993</v>
      </c>
      <c r="K9" t="s">
        <v>340</v>
      </c>
      <c r="L9" t="s">
        <v>342</v>
      </c>
      <c r="M9">
        <v>2018</v>
      </c>
      <c r="N9" t="s">
        <v>357</v>
      </c>
      <c r="O9">
        <v>2</v>
      </c>
    </row>
    <row r="10" spans="1:15" x14ac:dyDescent="0.3">
      <c r="A10" t="s">
        <v>40</v>
      </c>
      <c r="B10" t="s">
        <v>41</v>
      </c>
      <c r="C10" t="s">
        <v>11</v>
      </c>
      <c r="D10" t="s">
        <v>12</v>
      </c>
      <c r="E10" s="1">
        <v>43223</v>
      </c>
      <c r="F10" t="s">
        <v>42</v>
      </c>
      <c r="G10">
        <v>61400</v>
      </c>
      <c r="H10">
        <v>37.799999999999997</v>
      </c>
      <c r="I10">
        <v>15</v>
      </c>
      <c r="J10">
        <v>8.1</v>
      </c>
      <c r="K10" t="s">
        <v>340</v>
      </c>
      <c r="L10" t="s">
        <v>342</v>
      </c>
      <c r="M10">
        <v>2018</v>
      </c>
      <c r="N10" t="s">
        <v>344</v>
      </c>
      <c r="O10">
        <v>2</v>
      </c>
    </row>
    <row r="11" spans="1:15" x14ac:dyDescent="0.3">
      <c r="A11" t="s">
        <v>43</v>
      </c>
      <c r="B11" t="s">
        <v>44</v>
      </c>
      <c r="C11" t="s">
        <v>11</v>
      </c>
      <c r="D11" t="s">
        <v>45</v>
      </c>
      <c r="E11" s="1">
        <v>43270</v>
      </c>
      <c r="F11" t="s">
        <v>39</v>
      </c>
      <c r="G11">
        <v>76800</v>
      </c>
      <c r="H11">
        <v>32.700000000000003</v>
      </c>
      <c r="I11">
        <v>22</v>
      </c>
      <c r="J11">
        <v>8</v>
      </c>
      <c r="K11" t="s">
        <v>340</v>
      </c>
      <c r="L11" t="s">
        <v>342</v>
      </c>
      <c r="M11">
        <v>2018</v>
      </c>
      <c r="N11" t="s">
        <v>358</v>
      </c>
      <c r="O11">
        <v>2</v>
      </c>
    </row>
    <row r="12" spans="1:15" x14ac:dyDescent="0.3">
      <c r="A12" t="s">
        <v>46</v>
      </c>
      <c r="B12" t="s">
        <v>47</v>
      </c>
      <c r="C12" t="s">
        <v>16</v>
      </c>
      <c r="D12" t="s">
        <v>45</v>
      </c>
      <c r="E12" s="1">
        <v>43308</v>
      </c>
      <c r="F12" t="s">
        <v>21</v>
      </c>
      <c r="G12">
        <v>74200</v>
      </c>
      <c r="H12">
        <v>30.6</v>
      </c>
      <c r="I12">
        <v>27</v>
      </c>
      <c r="J12">
        <v>7.9</v>
      </c>
      <c r="K12" t="s">
        <v>340</v>
      </c>
      <c r="L12" t="s">
        <v>342</v>
      </c>
      <c r="M12">
        <v>2018</v>
      </c>
      <c r="N12" t="s">
        <v>359</v>
      </c>
      <c r="O12">
        <v>3</v>
      </c>
    </row>
    <row r="13" spans="1:15" x14ac:dyDescent="0.3">
      <c r="A13" t="s">
        <v>50</v>
      </c>
      <c r="B13" t="s">
        <v>51</v>
      </c>
      <c r="C13" t="s">
        <v>11</v>
      </c>
      <c r="D13" t="s">
        <v>12</v>
      </c>
      <c r="E13" s="1">
        <v>43347</v>
      </c>
      <c r="F13" t="s">
        <v>24</v>
      </c>
      <c r="G13">
        <v>37700</v>
      </c>
      <c r="H13">
        <v>34.799999999999997</v>
      </c>
      <c r="I13">
        <v>20</v>
      </c>
      <c r="J13">
        <v>7.8</v>
      </c>
      <c r="K13" t="s">
        <v>340</v>
      </c>
      <c r="L13" t="s">
        <v>343</v>
      </c>
      <c r="M13">
        <v>2018</v>
      </c>
      <c r="N13" t="s">
        <v>361</v>
      </c>
      <c r="O13">
        <v>3</v>
      </c>
    </row>
    <row r="14" spans="1:15" x14ac:dyDescent="0.3">
      <c r="A14" t="s">
        <v>52</v>
      </c>
      <c r="B14" t="s">
        <v>53</v>
      </c>
      <c r="C14" t="s">
        <v>16</v>
      </c>
      <c r="D14" t="s">
        <v>12</v>
      </c>
      <c r="E14" s="1">
        <v>43351</v>
      </c>
      <c r="F14" t="s">
        <v>42</v>
      </c>
      <c r="G14">
        <v>61600</v>
      </c>
      <c r="H14">
        <v>31.4</v>
      </c>
      <c r="I14">
        <v>15</v>
      </c>
      <c r="J14">
        <v>7.8</v>
      </c>
      <c r="K14" t="s">
        <v>340</v>
      </c>
      <c r="L14" t="s">
        <v>342</v>
      </c>
      <c r="M14">
        <v>2018</v>
      </c>
      <c r="N14" t="s">
        <v>361</v>
      </c>
      <c r="O14">
        <v>3</v>
      </c>
    </row>
    <row r="15" spans="1:15" x14ac:dyDescent="0.3">
      <c r="A15" t="s">
        <v>54</v>
      </c>
      <c r="B15" t="s">
        <v>55</v>
      </c>
      <c r="C15" t="s">
        <v>11</v>
      </c>
      <c r="D15" t="s">
        <v>45</v>
      </c>
      <c r="E15" s="1">
        <v>43352</v>
      </c>
      <c r="F15" t="s">
        <v>56</v>
      </c>
      <c r="G15">
        <v>57800</v>
      </c>
      <c r="H15">
        <v>36.6</v>
      </c>
      <c r="I15">
        <v>15</v>
      </c>
      <c r="J15">
        <v>7.8</v>
      </c>
      <c r="K15" t="s">
        <v>340</v>
      </c>
      <c r="L15" t="s">
        <v>345</v>
      </c>
      <c r="M15">
        <v>2018</v>
      </c>
      <c r="N15" t="s">
        <v>361</v>
      </c>
      <c r="O15">
        <v>3</v>
      </c>
    </row>
    <row r="16" spans="1:15" x14ac:dyDescent="0.3">
      <c r="A16" t="s">
        <v>59</v>
      </c>
      <c r="B16" t="s">
        <v>60</v>
      </c>
      <c r="C16" t="s">
        <v>16</v>
      </c>
      <c r="D16" t="s">
        <v>12</v>
      </c>
      <c r="E16" s="1">
        <v>43359</v>
      </c>
      <c r="F16" t="s">
        <v>42</v>
      </c>
      <c r="G16">
        <v>62900</v>
      </c>
      <c r="H16">
        <v>36.799999999999997</v>
      </c>
      <c r="I16">
        <v>15</v>
      </c>
      <c r="J16">
        <v>7.7</v>
      </c>
      <c r="K16" t="s">
        <v>340</v>
      </c>
      <c r="L16" t="s">
        <v>342</v>
      </c>
      <c r="M16">
        <v>2018</v>
      </c>
      <c r="N16" t="s">
        <v>361</v>
      </c>
      <c r="O16">
        <v>3</v>
      </c>
    </row>
    <row r="17" spans="1:15" x14ac:dyDescent="0.3">
      <c r="A17" t="s">
        <v>61</v>
      </c>
      <c r="B17" t="s">
        <v>62</v>
      </c>
      <c r="C17" t="s">
        <v>16</v>
      </c>
      <c r="D17" t="s">
        <v>45</v>
      </c>
      <c r="E17" s="1">
        <v>43371</v>
      </c>
      <c r="F17" t="s">
        <v>56</v>
      </c>
      <c r="G17">
        <v>56700</v>
      </c>
      <c r="H17">
        <v>35</v>
      </c>
      <c r="I17">
        <v>14</v>
      </c>
      <c r="J17">
        <v>7.7</v>
      </c>
      <c r="K17" t="s">
        <v>340</v>
      </c>
      <c r="L17" t="s">
        <v>345</v>
      </c>
      <c r="M17">
        <v>2018</v>
      </c>
      <c r="N17" t="s">
        <v>361</v>
      </c>
      <c r="O17">
        <v>3</v>
      </c>
    </row>
    <row r="18" spans="1:15" x14ac:dyDescent="0.3">
      <c r="A18" t="s">
        <v>63</v>
      </c>
      <c r="B18" t="s">
        <v>64</v>
      </c>
      <c r="C18" t="s">
        <v>11</v>
      </c>
      <c r="D18" t="s">
        <v>12</v>
      </c>
      <c r="E18" s="1">
        <v>43371</v>
      </c>
      <c r="F18" t="s">
        <v>13</v>
      </c>
      <c r="G18">
        <v>83200</v>
      </c>
      <c r="H18">
        <v>31.6</v>
      </c>
      <c r="I18">
        <v>9</v>
      </c>
      <c r="J18">
        <v>7.7</v>
      </c>
      <c r="K18" t="s">
        <v>340</v>
      </c>
      <c r="L18" t="s">
        <v>341</v>
      </c>
      <c r="M18">
        <v>2018</v>
      </c>
      <c r="N18" t="s">
        <v>361</v>
      </c>
      <c r="O18">
        <v>3</v>
      </c>
    </row>
    <row r="19" spans="1:15" x14ac:dyDescent="0.3">
      <c r="A19" t="s">
        <v>65</v>
      </c>
      <c r="B19" t="s">
        <v>66</v>
      </c>
      <c r="C19" t="s">
        <v>11</v>
      </c>
      <c r="D19" t="s">
        <v>12</v>
      </c>
      <c r="E19" s="1">
        <v>43382</v>
      </c>
      <c r="F19" t="s">
        <v>13</v>
      </c>
      <c r="G19">
        <v>82100</v>
      </c>
      <c r="H19">
        <v>32.700000000000003</v>
      </c>
      <c r="I19">
        <v>14</v>
      </c>
      <c r="J19">
        <v>7.7</v>
      </c>
      <c r="K19" t="s">
        <v>340</v>
      </c>
      <c r="L19" t="s">
        <v>341</v>
      </c>
      <c r="M19">
        <v>2018</v>
      </c>
      <c r="N19" t="s">
        <v>362</v>
      </c>
      <c r="O19">
        <v>4</v>
      </c>
    </row>
    <row r="20" spans="1:15" x14ac:dyDescent="0.3">
      <c r="A20" t="s">
        <v>67</v>
      </c>
      <c r="B20" t="s">
        <v>68</v>
      </c>
      <c r="C20" t="s">
        <v>11</v>
      </c>
      <c r="D20" t="s">
        <v>12</v>
      </c>
      <c r="E20" s="1">
        <v>43383</v>
      </c>
      <c r="F20" t="s">
        <v>24</v>
      </c>
      <c r="G20">
        <v>37600</v>
      </c>
      <c r="H20">
        <v>30.8</v>
      </c>
      <c r="I20">
        <v>9</v>
      </c>
      <c r="J20">
        <v>7.7</v>
      </c>
      <c r="K20" t="s">
        <v>340</v>
      </c>
      <c r="L20" t="s">
        <v>343</v>
      </c>
      <c r="M20">
        <v>2018</v>
      </c>
      <c r="N20" t="s">
        <v>362</v>
      </c>
      <c r="O20">
        <v>4</v>
      </c>
    </row>
    <row r="21" spans="1:15" x14ac:dyDescent="0.3">
      <c r="A21" t="s">
        <v>69</v>
      </c>
      <c r="B21" t="s">
        <v>70</v>
      </c>
      <c r="C21" t="s">
        <v>11</v>
      </c>
      <c r="D21" t="s">
        <v>45</v>
      </c>
      <c r="E21" s="1">
        <v>43391</v>
      </c>
      <c r="F21" t="s">
        <v>56</v>
      </c>
      <c r="G21">
        <v>59200</v>
      </c>
      <c r="H21">
        <v>30.9</v>
      </c>
      <c r="I21">
        <v>18</v>
      </c>
      <c r="J21">
        <v>7.7</v>
      </c>
      <c r="K21" t="s">
        <v>340</v>
      </c>
      <c r="L21" t="s">
        <v>345</v>
      </c>
      <c r="M21">
        <v>2018</v>
      </c>
      <c r="N21" t="s">
        <v>362</v>
      </c>
      <c r="O21">
        <v>4</v>
      </c>
    </row>
    <row r="22" spans="1:15" x14ac:dyDescent="0.3">
      <c r="A22" t="s">
        <v>71</v>
      </c>
      <c r="B22" t="s">
        <v>72</v>
      </c>
      <c r="C22" t="s">
        <v>11</v>
      </c>
      <c r="D22" t="s">
        <v>12</v>
      </c>
      <c r="E22" s="1">
        <v>43401</v>
      </c>
      <c r="F22" t="s">
        <v>42</v>
      </c>
      <c r="G22">
        <v>63600</v>
      </c>
      <c r="H22">
        <v>35</v>
      </c>
      <c r="I22">
        <v>10</v>
      </c>
      <c r="J22">
        <v>7.6</v>
      </c>
      <c r="K22" t="s">
        <v>340</v>
      </c>
      <c r="L22" t="s">
        <v>342</v>
      </c>
      <c r="M22">
        <v>2018</v>
      </c>
      <c r="N22" t="s">
        <v>362</v>
      </c>
      <c r="O22">
        <v>4</v>
      </c>
    </row>
    <row r="23" spans="1:15" x14ac:dyDescent="0.3">
      <c r="A23" t="s">
        <v>73</v>
      </c>
      <c r="B23" t="s">
        <v>74</v>
      </c>
      <c r="C23" t="s">
        <v>11</v>
      </c>
      <c r="D23" t="s">
        <v>45</v>
      </c>
      <c r="E23" s="1">
        <v>43407</v>
      </c>
      <c r="F23" t="s">
        <v>56</v>
      </c>
      <c r="G23">
        <v>57100</v>
      </c>
      <c r="H23">
        <v>33.9</v>
      </c>
      <c r="I23">
        <v>16</v>
      </c>
      <c r="J23">
        <v>7.6</v>
      </c>
      <c r="K23" t="s">
        <v>340</v>
      </c>
      <c r="L23" t="s">
        <v>345</v>
      </c>
      <c r="M23">
        <v>2018</v>
      </c>
      <c r="N23" t="s">
        <v>360</v>
      </c>
      <c r="O23">
        <v>4</v>
      </c>
    </row>
    <row r="24" spans="1:15" x14ac:dyDescent="0.3">
      <c r="A24" t="s">
        <v>75</v>
      </c>
      <c r="B24" t="s">
        <v>76</v>
      </c>
      <c r="C24" t="s">
        <v>11</v>
      </c>
      <c r="D24" t="s">
        <v>45</v>
      </c>
      <c r="E24" s="1">
        <v>43425</v>
      </c>
      <c r="F24" t="s">
        <v>77</v>
      </c>
      <c r="G24">
        <v>33100</v>
      </c>
      <c r="H24">
        <v>34.299999999999997</v>
      </c>
      <c r="I24">
        <v>9</v>
      </c>
      <c r="J24">
        <v>7.6</v>
      </c>
      <c r="K24" t="s">
        <v>340</v>
      </c>
      <c r="L24" t="s">
        <v>343</v>
      </c>
      <c r="M24">
        <v>2018</v>
      </c>
      <c r="N24" t="s">
        <v>360</v>
      </c>
      <c r="O24">
        <v>4</v>
      </c>
    </row>
    <row r="25" spans="1:15" x14ac:dyDescent="0.3">
      <c r="A25" t="s">
        <v>78</v>
      </c>
      <c r="B25" t="s">
        <v>79</v>
      </c>
      <c r="C25" t="s">
        <v>16</v>
      </c>
      <c r="D25" t="s">
        <v>45</v>
      </c>
      <c r="E25" s="1">
        <v>43431</v>
      </c>
      <c r="F25" t="s">
        <v>80</v>
      </c>
      <c r="G25">
        <v>54900</v>
      </c>
      <c r="H25">
        <v>31.6</v>
      </c>
      <c r="I25">
        <v>17</v>
      </c>
      <c r="J25">
        <v>7.6</v>
      </c>
      <c r="K25" t="s">
        <v>340</v>
      </c>
      <c r="L25" t="s">
        <v>345</v>
      </c>
      <c r="M25">
        <v>2018</v>
      </c>
      <c r="N25" t="s">
        <v>360</v>
      </c>
      <c r="O25">
        <v>4</v>
      </c>
    </row>
    <row r="26" spans="1:15" x14ac:dyDescent="0.3">
      <c r="A26" t="s">
        <v>83</v>
      </c>
      <c r="B26" t="s">
        <v>84</v>
      </c>
      <c r="C26" t="s">
        <v>11</v>
      </c>
      <c r="D26" t="s">
        <v>12</v>
      </c>
      <c r="E26" s="1">
        <v>43444</v>
      </c>
      <c r="F26" t="s">
        <v>80</v>
      </c>
      <c r="G26">
        <v>51100</v>
      </c>
      <c r="H26">
        <v>36.200000000000003</v>
      </c>
      <c r="I26">
        <v>15</v>
      </c>
      <c r="J26">
        <v>7.5</v>
      </c>
      <c r="K26" t="s">
        <v>340</v>
      </c>
      <c r="L26" t="s">
        <v>345</v>
      </c>
      <c r="M26">
        <v>2018</v>
      </c>
      <c r="N26" t="s">
        <v>363</v>
      </c>
      <c r="O26">
        <v>4</v>
      </c>
    </row>
    <row r="27" spans="1:15" x14ac:dyDescent="0.3">
      <c r="A27" t="s">
        <v>85</v>
      </c>
      <c r="B27" t="s">
        <v>86</v>
      </c>
      <c r="C27" t="s">
        <v>16</v>
      </c>
      <c r="D27" t="s">
        <v>12</v>
      </c>
      <c r="E27" s="1">
        <v>43444</v>
      </c>
      <c r="F27" t="s">
        <v>80</v>
      </c>
      <c r="G27">
        <v>51400</v>
      </c>
      <c r="H27">
        <v>33.9</v>
      </c>
      <c r="I27">
        <v>8</v>
      </c>
      <c r="J27">
        <v>7.5</v>
      </c>
      <c r="K27" t="s">
        <v>340</v>
      </c>
      <c r="L27" t="s">
        <v>345</v>
      </c>
      <c r="M27">
        <v>2018</v>
      </c>
      <c r="N27" t="s">
        <v>363</v>
      </c>
      <c r="O27">
        <v>4</v>
      </c>
    </row>
    <row r="28" spans="1:15" x14ac:dyDescent="0.3">
      <c r="A28" t="s">
        <v>87</v>
      </c>
      <c r="B28" t="s">
        <v>88</v>
      </c>
      <c r="C28" t="s">
        <v>11</v>
      </c>
      <c r="D28" t="s">
        <v>45</v>
      </c>
      <c r="E28" s="1">
        <v>43529</v>
      </c>
      <c r="F28" t="s">
        <v>56</v>
      </c>
      <c r="G28">
        <v>55600</v>
      </c>
      <c r="H28">
        <v>35.4</v>
      </c>
      <c r="I28">
        <v>12</v>
      </c>
      <c r="J28">
        <v>7.3</v>
      </c>
      <c r="K28" t="s">
        <v>340</v>
      </c>
      <c r="L28" t="s">
        <v>345</v>
      </c>
      <c r="M28">
        <v>2019</v>
      </c>
      <c r="N28" t="s">
        <v>364</v>
      </c>
      <c r="O28">
        <v>1</v>
      </c>
    </row>
    <row r="29" spans="1:15" x14ac:dyDescent="0.3">
      <c r="A29" t="s">
        <v>91</v>
      </c>
      <c r="B29" t="s">
        <v>92</v>
      </c>
      <c r="C29" t="s">
        <v>16</v>
      </c>
      <c r="D29" t="s">
        <v>45</v>
      </c>
      <c r="E29" s="1">
        <v>43551</v>
      </c>
      <c r="F29" t="s">
        <v>56</v>
      </c>
      <c r="G29">
        <v>57800</v>
      </c>
      <c r="H29">
        <v>34.200000000000003</v>
      </c>
      <c r="I29">
        <v>14</v>
      </c>
      <c r="J29">
        <v>7.2</v>
      </c>
      <c r="K29" t="s">
        <v>340</v>
      </c>
      <c r="L29" t="s">
        <v>345</v>
      </c>
      <c r="M29">
        <v>2019</v>
      </c>
      <c r="N29" t="s">
        <v>364</v>
      </c>
      <c r="O29">
        <v>1</v>
      </c>
    </row>
    <row r="30" spans="1:15" x14ac:dyDescent="0.3">
      <c r="A30" t="s">
        <v>96</v>
      </c>
      <c r="B30" t="s">
        <v>97</v>
      </c>
      <c r="C30" t="s">
        <v>11</v>
      </c>
      <c r="D30" t="s">
        <v>45</v>
      </c>
      <c r="E30" s="1">
        <v>43570</v>
      </c>
      <c r="F30" t="s">
        <v>80</v>
      </c>
      <c r="G30">
        <v>51000</v>
      </c>
      <c r="H30">
        <v>34.799999999999997</v>
      </c>
      <c r="I30">
        <v>22</v>
      </c>
      <c r="J30">
        <v>7.2</v>
      </c>
      <c r="K30" t="s">
        <v>340</v>
      </c>
      <c r="L30" t="s">
        <v>345</v>
      </c>
      <c r="M30">
        <v>2019</v>
      </c>
      <c r="N30" t="s">
        <v>357</v>
      </c>
      <c r="O30">
        <v>2</v>
      </c>
    </row>
    <row r="31" spans="1:15" x14ac:dyDescent="0.3">
      <c r="A31" t="s">
        <v>100</v>
      </c>
      <c r="B31" t="s">
        <v>101</v>
      </c>
      <c r="C31" t="s">
        <v>11</v>
      </c>
      <c r="D31" t="s">
        <v>45</v>
      </c>
      <c r="E31" s="1">
        <v>43612</v>
      </c>
      <c r="F31" t="s">
        <v>95</v>
      </c>
      <c r="G31">
        <v>44400</v>
      </c>
      <c r="H31">
        <v>35.1</v>
      </c>
      <c r="I31">
        <v>16</v>
      </c>
      <c r="J31">
        <v>7.1</v>
      </c>
      <c r="K31" t="s">
        <v>340</v>
      </c>
      <c r="L31" t="s">
        <v>345</v>
      </c>
      <c r="M31">
        <v>2019</v>
      </c>
      <c r="N31" t="s">
        <v>344</v>
      </c>
      <c r="O31">
        <v>2</v>
      </c>
    </row>
    <row r="32" spans="1:15" x14ac:dyDescent="0.3">
      <c r="A32" t="s">
        <v>102</v>
      </c>
      <c r="B32" t="s">
        <v>103</v>
      </c>
      <c r="C32" t="s">
        <v>11</v>
      </c>
      <c r="D32" t="s">
        <v>104</v>
      </c>
      <c r="E32" s="1">
        <v>43621</v>
      </c>
      <c r="F32" t="s">
        <v>24</v>
      </c>
      <c r="G32">
        <v>37000</v>
      </c>
      <c r="H32">
        <v>33</v>
      </c>
      <c r="I32">
        <v>17</v>
      </c>
      <c r="J32">
        <v>7</v>
      </c>
      <c r="K32" t="s">
        <v>340</v>
      </c>
      <c r="L32" t="s">
        <v>343</v>
      </c>
      <c r="M32">
        <v>2019</v>
      </c>
      <c r="N32" t="s">
        <v>358</v>
      </c>
      <c r="O32">
        <v>2</v>
      </c>
    </row>
    <row r="33" spans="1:15" x14ac:dyDescent="0.3">
      <c r="A33" t="s">
        <v>105</v>
      </c>
      <c r="B33" t="s">
        <v>106</v>
      </c>
      <c r="C33" t="s">
        <v>16</v>
      </c>
      <c r="D33" t="s">
        <v>45</v>
      </c>
      <c r="E33" s="1">
        <v>43626</v>
      </c>
      <c r="F33" t="s">
        <v>80</v>
      </c>
      <c r="G33">
        <v>52700</v>
      </c>
      <c r="H33">
        <v>32.200000000000003</v>
      </c>
      <c r="I33">
        <v>16</v>
      </c>
      <c r="J33">
        <v>7</v>
      </c>
      <c r="K33" t="s">
        <v>340</v>
      </c>
      <c r="L33" t="s">
        <v>345</v>
      </c>
      <c r="M33">
        <v>2019</v>
      </c>
      <c r="N33" t="s">
        <v>358</v>
      </c>
      <c r="O33">
        <v>2</v>
      </c>
    </row>
    <row r="34" spans="1:15" x14ac:dyDescent="0.3">
      <c r="A34" t="s">
        <v>107</v>
      </c>
      <c r="B34" t="s">
        <v>108</v>
      </c>
      <c r="C34" t="s">
        <v>16</v>
      </c>
      <c r="D34" t="s">
        <v>45</v>
      </c>
      <c r="E34" s="1">
        <v>43631</v>
      </c>
      <c r="F34" t="s">
        <v>80</v>
      </c>
      <c r="G34">
        <v>53900</v>
      </c>
      <c r="H34">
        <v>32.5</v>
      </c>
      <c r="I34">
        <v>23</v>
      </c>
      <c r="J34">
        <v>7</v>
      </c>
      <c r="K34" t="s">
        <v>340</v>
      </c>
      <c r="L34" t="s">
        <v>345</v>
      </c>
      <c r="M34">
        <v>2019</v>
      </c>
      <c r="N34" t="s">
        <v>358</v>
      </c>
      <c r="O34">
        <v>2</v>
      </c>
    </row>
    <row r="35" spans="1:15" x14ac:dyDescent="0.3">
      <c r="A35" t="s">
        <v>109</v>
      </c>
      <c r="B35" t="s">
        <v>110</v>
      </c>
      <c r="C35" t="s">
        <v>16</v>
      </c>
      <c r="D35" t="s">
        <v>12</v>
      </c>
      <c r="E35" s="1">
        <v>43641</v>
      </c>
      <c r="F35" t="s">
        <v>13</v>
      </c>
      <c r="G35">
        <v>82900</v>
      </c>
      <c r="H35">
        <v>31.1</v>
      </c>
      <c r="I35">
        <v>17</v>
      </c>
      <c r="J35">
        <v>7</v>
      </c>
      <c r="K35" t="s">
        <v>340</v>
      </c>
      <c r="L35" t="s">
        <v>341</v>
      </c>
      <c r="M35">
        <v>2019</v>
      </c>
      <c r="N35" t="s">
        <v>358</v>
      </c>
      <c r="O35">
        <v>2</v>
      </c>
    </row>
    <row r="36" spans="1:15" x14ac:dyDescent="0.3">
      <c r="A36" t="s">
        <v>111</v>
      </c>
      <c r="B36" t="s">
        <v>112</v>
      </c>
      <c r="C36" t="s">
        <v>16</v>
      </c>
      <c r="D36" t="s">
        <v>12</v>
      </c>
      <c r="E36" s="1">
        <v>43661</v>
      </c>
      <c r="F36" t="s">
        <v>42</v>
      </c>
      <c r="G36">
        <v>61400</v>
      </c>
      <c r="H36">
        <v>31</v>
      </c>
      <c r="I36">
        <v>15</v>
      </c>
      <c r="J36">
        <v>6.9</v>
      </c>
      <c r="K36" t="s">
        <v>340</v>
      </c>
      <c r="L36" t="s">
        <v>342</v>
      </c>
      <c r="M36">
        <v>2019</v>
      </c>
      <c r="N36" t="s">
        <v>359</v>
      </c>
      <c r="O36">
        <v>3</v>
      </c>
    </row>
    <row r="37" spans="1:15" x14ac:dyDescent="0.3">
      <c r="A37" t="s">
        <v>113</v>
      </c>
      <c r="B37" t="s">
        <v>114</v>
      </c>
      <c r="C37" t="s">
        <v>16</v>
      </c>
      <c r="D37" t="s">
        <v>45</v>
      </c>
      <c r="E37" s="1">
        <v>43663</v>
      </c>
      <c r="F37" t="s">
        <v>24</v>
      </c>
      <c r="G37">
        <v>38300</v>
      </c>
      <c r="H37">
        <v>33.700000000000003</v>
      </c>
      <c r="I37">
        <v>14</v>
      </c>
      <c r="J37">
        <v>6.9</v>
      </c>
      <c r="K37" t="s">
        <v>340</v>
      </c>
      <c r="L37" t="s">
        <v>343</v>
      </c>
      <c r="M37">
        <v>2019</v>
      </c>
      <c r="N37" t="s">
        <v>359</v>
      </c>
      <c r="O37">
        <v>3</v>
      </c>
    </row>
    <row r="38" spans="1:15" x14ac:dyDescent="0.3">
      <c r="A38" t="s">
        <v>115</v>
      </c>
      <c r="B38" t="s">
        <v>116</v>
      </c>
      <c r="C38" t="s">
        <v>16</v>
      </c>
      <c r="D38" t="s">
        <v>104</v>
      </c>
      <c r="E38" s="1">
        <v>43673</v>
      </c>
      <c r="F38" t="s">
        <v>13</v>
      </c>
      <c r="G38">
        <v>82400</v>
      </c>
      <c r="H38">
        <v>33.799999999999997</v>
      </c>
      <c r="I38">
        <v>14</v>
      </c>
      <c r="J38">
        <v>6.9</v>
      </c>
      <c r="K38" t="s">
        <v>340</v>
      </c>
      <c r="L38" t="s">
        <v>341</v>
      </c>
      <c r="M38">
        <v>2019</v>
      </c>
      <c r="N38" t="s">
        <v>359</v>
      </c>
      <c r="O38">
        <v>3</v>
      </c>
    </row>
    <row r="39" spans="1:15" x14ac:dyDescent="0.3">
      <c r="A39" t="s">
        <v>120</v>
      </c>
      <c r="B39" t="s">
        <v>121</v>
      </c>
      <c r="C39" t="s">
        <v>11</v>
      </c>
      <c r="D39" t="s">
        <v>104</v>
      </c>
      <c r="E39" s="1">
        <v>43691</v>
      </c>
      <c r="F39" t="s">
        <v>24</v>
      </c>
      <c r="G39">
        <v>36400</v>
      </c>
      <c r="H39">
        <v>38.299999999999997</v>
      </c>
      <c r="I39">
        <v>20</v>
      </c>
      <c r="J39">
        <v>6.8</v>
      </c>
      <c r="K39" t="s">
        <v>340</v>
      </c>
      <c r="L39" t="s">
        <v>343</v>
      </c>
      <c r="M39">
        <v>2019</v>
      </c>
      <c r="N39" t="s">
        <v>365</v>
      </c>
      <c r="O39">
        <v>3</v>
      </c>
    </row>
    <row r="40" spans="1:15" x14ac:dyDescent="0.3">
      <c r="A40" t="s">
        <v>122</v>
      </c>
      <c r="B40" t="s">
        <v>123</v>
      </c>
      <c r="C40" t="s">
        <v>16</v>
      </c>
      <c r="D40" t="s">
        <v>119</v>
      </c>
      <c r="E40" s="1">
        <v>43697</v>
      </c>
      <c r="F40" t="s">
        <v>56</v>
      </c>
      <c r="G40">
        <v>56900</v>
      </c>
      <c r="H40">
        <v>30.5</v>
      </c>
      <c r="I40">
        <v>12</v>
      </c>
      <c r="J40">
        <v>6.8</v>
      </c>
      <c r="K40" t="s">
        <v>340</v>
      </c>
      <c r="L40" t="s">
        <v>345</v>
      </c>
      <c r="M40">
        <v>2019</v>
      </c>
      <c r="N40" t="s">
        <v>365</v>
      </c>
      <c r="O40">
        <v>3</v>
      </c>
    </row>
    <row r="41" spans="1:15" x14ac:dyDescent="0.3">
      <c r="A41" t="s">
        <v>124</v>
      </c>
      <c r="B41" t="s">
        <v>125</v>
      </c>
      <c r="C41" t="s">
        <v>16</v>
      </c>
      <c r="D41" t="s">
        <v>45</v>
      </c>
      <c r="E41" s="1">
        <v>43703</v>
      </c>
      <c r="F41" t="s">
        <v>39</v>
      </c>
      <c r="G41">
        <v>76900</v>
      </c>
      <c r="H41">
        <v>33.200000000000003</v>
      </c>
      <c r="I41">
        <v>17</v>
      </c>
      <c r="J41">
        <v>6.8</v>
      </c>
      <c r="K41" t="s">
        <v>340</v>
      </c>
      <c r="L41" t="s">
        <v>342</v>
      </c>
      <c r="M41">
        <v>2019</v>
      </c>
      <c r="N41" t="s">
        <v>365</v>
      </c>
      <c r="O41">
        <v>3</v>
      </c>
    </row>
    <row r="42" spans="1:15" x14ac:dyDescent="0.3">
      <c r="A42" t="s">
        <v>126</v>
      </c>
      <c r="B42" t="s">
        <v>127</v>
      </c>
      <c r="C42" t="s">
        <v>16</v>
      </c>
      <c r="D42" t="s">
        <v>104</v>
      </c>
      <c r="E42" s="1">
        <v>43712</v>
      </c>
      <c r="F42" t="s">
        <v>77</v>
      </c>
      <c r="G42">
        <v>32600</v>
      </c>
      <c r="H42">
        <v>31.5</v>
      </c>
      <c r="I42">
        <v>16</v>
      </c>
      <c r="J42">
        <v>6.8</v>
      </c>
      <c r="K42" t="s">
        <v>340</v>
      </c>
      <c r="L42" t="s">
        <v>343</v>
      </c>
      <c r="M42">
        <v>2019</v>
      </c>
      <c r="N42" t="s">
        <v>361</v>
      </c>
      <c r="O42">
        <v>3</v>
      </c>
    </row>
    <row r="43" spans="1:15" x14ac:dyDescent="0.3">
      <c r="A43" t="s">
        <v>130</v>
      </c>
      <c r="B43" t="s">
        <v>131</v>
      </c>
      <c r="C43" t="s">
        <v>16</v>
      </c>
      <c r="D43" t="s">
        <v>45</v>
      </c>
      <c r="E43" s="1">
        <v>43722</v>
      </c>
      <c r="F43" t="s">
        <v>77</v>
      </c>
      <c r="G43">
        <v>36200</v>
      </c>
      <c r="H43">
        <v>36</v>
      </c>
      <c r="I43">
        <v>19</v>
      </c>
      <c r="J43">
        <v>6.8</v>
      </c>
      <c r="K43" t="s">
        <v>340</v>
      </c>
      <c r="L43" t="s">
        <v>343</v>
      </c>
      <c r="M43">
        <v>2019</v>
      </c>
      <c r="N43" t="s">
        <v>361</v>
      </c>
      <c r="O43">
        <v>3</v>
      </c>
    </row>
    <row r="44" spans="1:15" x14ac:dyDescent="0.3">
      <c r="A44" t="s">
        <v>132</v>
      </c>
      <c r="B44" t="s">
        <v>133</v>
      </c>
      <c r="C44" t="s">
        <v>11</v>
      </c>
      <c r="D44" t="s">
        <v>119</v>
      </c>
      <c r="E44" s="1">
        <v>43731</v>
      </c>
      <c r="F44" t="s">
        <v>42</v>
      </c>
      <c r="G44">
        <v>63100</v>
      </c>
      <c r="H44">
        <v>30.2</v>
      </c>
      <c r="I44">
        <v>21</v>
      </c>
      <c r="J44">
        <v>6.7</v>
      </c>
      <c r="K44" t="s">
        <v>340</v>
      </c>
      <c r="L44" t="s">
        <v>342</v>
      </c>
      <c r="M44">
        <v>2019</v>
      </c>
      <c r="N44" t="s">
        <v>361</v>
      </c>
      <c r="O44">
        <v>3</v>
      </c>
    </row>
    <row r="45" spans="1:15" x14ac:dyDescent="0.3">
      <c r="A45" t="s">
        <v>134</v>
      </c>
      <c r="B45" t="s">
        <v>135</v>
      </c>
      <c r="C45" t="s">
        <v>16</v>
      </c>
      <c r="D45" t="s">
        <v>45</v>
      </c>
      <c r="E45" s="1">
        <v>43739</v>
      </c>
      <c r="F45" t="s">
        <v>39</v>
      </c>
      <c r="G45">
        <v>77500</v>
      </c>
      <c r="H45">
        <v>30.3</v>
      </c>
      <c r="I45">
        <v>14</v>
      </c>
      <c r="J45">
        <v>6.7</v>
      </c>
      <c r="K45" t="s">
        <v>340</v>
      </c>
      <c r="L45" t="s">
        <v>342</v>
      </c>
      <c r="M45">
        <v>2019</v>
      </c>
      <c r="N45" t="s">
        <v>362</v>
      </c>
      <c r="O45">
        <v>4</v>
      </c>
    </row>
    <row r="46" spans="1:15" x14ac:dyDescent="0.3">
      <c r="A46" t="s">
        <v>136</v>
      </c>
      <c r="B46" t="s">
        <v>137</v>
      </c>
      <c r="C46" t="s">
        <v>11</v>
      </c>
      <c r="D46" t="s">
        <v>45</v>
      </c>
      <c r="E46" s="1">
        <v>43766</v>
      </c>
      <c r="F46" t="s">
        <v>39</v>
      </c>
      <c r="G46">
        <v>78400</v>
      </c>
      <c r="H46">
        <v>31</v>
      </c>
      <c r="I46">
        <v>22</v>
      </c>
      <c r="J46">
        <v>6.6</v>
      </c>
      <c r="K46" t="s">
        <v>340</v>
      </c>
      <c r="L46" t="s">
        <v>342</v>
      </c>
      <c r="M46">
        <v>2019</v>
      </c>
      <c r="N46" t="s">
        <v>362</v>
      </c>
      <c r="O46">
        <v>4</v>
      </c>
    </row>
    <row r="47" spans="1:15" x14ac:dyDescent="0.3">
      <c r="A47" t="s">
        <v>146</v>
      </c>
      <c r="B47" t="s">
        <v>84</v>
      </c>
      <c r="C47" t="s">
        <v>11</v>
      </c>
      <c r="D47" t="s">
        <v>45</v>
      </c>
      <c r="E47" s="1">
        <v>43822</v>
      </c>
      <c r="F47" t="s">
        <v>80</v>
      </c>
      <c r="G47">
        <v>51100</v>
      </c>
      <c r="H47">
        <v>33.700000000000003</v>
      </c>
      <c r="I47">
        <v>16</v>
      </c>
      <c r="J47">
        <v>6.5</v>
      </c>
      <c r="K47" t="s">
        <v>340</v>
      </c>
      <c r="L47" t="s">
        <v>345</v>
      </c>
      <c r="M47">
        <v>2019</v>
      </c>
      <c r="N47" t="s">
        <v>363</v>
      </c>
      <c r="O47">
        <v>4</v>
      </c>
    </row>
    <row r="48" spans="1:15" x14ac:dyDescent="0.3">
      <c r="A48" t="s">
        <v>149</v>
      </c>
      <c r="B48" t="s">
        <v>150</v>
      </c>
      <c r="C48" t="s">
        <v>11</v>
      </c>
      <c r="D48" t="s">
        <v>119</v>
      </c>
      <c r="E48" s="1">
        <v>43849</v>
      </c>
      <c r="F48" t="s">
        <v>56</v>
      </c>
      <c r="G48">
        <v>55700</v>
      </c>
      <c r="H48">
        <v>31.6</v>
      </c>
      <c r="I48">
        <v>22</v>
      </c>
      <c r="J48">
        <v>6.4</v>
      </c>
      <c r="K48" t="s">
        <v>340</v>
      </c>
      <c r="L48" t="s">
        <v>345</v>
      </c>
      <c r="M48">
        <v>2020</v>
      </c>
      <c r="N48" t="s">
        <v>366</v>
      </c>
      <c r="O48">
        <v>1</v>
      </c>
    </row>
    <row r="49" spans="1:15" x14ac:dyDescent="0.3">
      <c r="A49" t="s">
        <v>151</v>
      </c>
      <c r="B49" t="s">
        <v>152</v>
      </c>
      <c r="C49" t="s">
        <v>16</v>
      </c>
      <c r="D49" t="s">
        <v>45</v>
      </c>
      <c r="E49" s="1">
        <v>43856</v>
      </c>
      <c r="F49" t="s">
        <v>153</v>
      </c>
      <c r="G49">
        <v>46900</v>
      </c>
      <c r="H49">
        <v>34.9</v>
      </c>
      <c r="I49">
        <v>16</v>
      </c>
      <c r="J49">
        <v>6.4</v>
      </c>
      <c r="K49" t="s">
        <v>340</v>
      </c>
      <c r="L49" t="s">
        <v>345</v>
      </c>
      <c r="M49">
        <v>2020</v>
      </c>
      <c r="N49" t="s">
        <v>366</v>
      </c>
      <c r="O49">
        <v>1</v>
      </c>
    </row>
    <row r="50" spans="1:15" x14ac:dyDescent="0.3">
      <c r="A50" t="s">
        <v>156</v>
      </c>
      <c r="B50" t="s">
        <v>157</v>
      </c>
      <c r="C50" t="s">
        <v>16</v>
      </c>
      <c r="D50" t="s">
        <v>104</v>
      </c>
      <c r="E50" s="1">
        <v>43873</v>
      </c>
      <c r="F50" t="s">
        <v>153</v>
      </c>
      <c r="G50">
        <v>46000</v>
      </c>
      <c r="H50">
        <v>38</v>
      </c>
      <c r="I50">
        <v>21</v>
      </c>
      <c r="J50">
        <v>6.3</v>
      </c>
      <c r="K50" t="s">
        <v>340</v>
      </c>
      <c r="L50" t="s">
        <v>345</v>
      </c>
      <c r="M50">
        <v>2020</v>
      </c>
      <c r="N50" t="s">
        <v>367</v>
      </c>
      <c r="O50">
        <v>1</v>
      </c>
    </row>
    <row r="51" spans="1:15" x14ac:dyDescent="0.3">
      <c r="A51" t="s">
        <v>158</v>
      </c>
      <c r="B51" t="s">
        <v>159</v>
      </c>
      <c r="C51" t="s">
        <v>11</v>
      </c>
      <c r="D51" t="s">
        <v>104</v>
      </c>
      <c r="E51" s="1">
        <v>43875</v>
      </c>
      <c r="F51" t="s">
        <v>153</v>
      </c>
      <c r="G51">
        <v>49000</v>
      </c>
      <c r="H51">
        <v>35.299999999999997</v>
      </c>
      <c r="I51">
        <v>13</v>
      </c>
      <c r="J51">
        <v>6.3</v>
      </c>
      <c r="K51" t="s">
        <v>340</v>
      </c>
      <c r="L51" t="s">
        <v>345</v>
      </c>
      <c r="M51">
        <v>2020</v>
      </c>
      <c r="N51" t="s">
        <v>367</v>
      </c>
      <c r="O51">
        <v>1</v>
      </c>
    </row>
    <row r="52" spans="1:15" x14ac:dyDescent="0.3">
      <c r="A52" t="s">
        <v>160</v>
      </c>
      <c r="B52" t="s">
        <v>161</v>
      </c>
      <c r="C52" t="s">
        <v>16</v>
      </c>
      <c r="D52" t="s">
        <v>104</v>
      </c>
      <c r="E52" s="1">
        <v>43878</v>
      </c>
      <c r="F52" t="s">
        <v>24</v>
      </c>
      <c r="G52">
        <v>37300</v>
      </c>
      <c r="H52">
        <v>35</v>
      </c>
      <c r="I52">
        <v>11</v>
      </c>
      <c r="J52">
        <v>6.3</v>
      </c>
      <c r="K52" t="s">
        <v>340</v>
      </c>
      <c r="L52" t="s">
        <v>343</v>
      </c>
      <c r="M52">
        <v>2020</v>
      </c>
      <c r="N52" t="s">
        <v>367</v>
      </c>
      <c r="O52">
        <v>1</v>
      </c>
    </row>
    <row r="53" spans="1:15" x14ac:dyDescent="0.3">
      <c r="A53" t="s">
        <v>162</v>
      </c>
      <c r="B53" t="s">
        <v>163</v>
      </c>
      <c r="C53" t="s">
        <v>11</v>
      </c>
      <c r="D53" t="s">
        <v>45</v>
      </c>
      <c r="E53" s="1">
        <v>43912</v>
      </c>
      <c r="F53" t="s">
        <v>95</v>
      </c>
      <c r="G53">
        <v>41500</v>
      </c>
      <c r="H53">
        <v>33.4</v>
      </c>
      <c r="I53">
        <v>13</v>
      </c>
      <c r="J53">
        <v>6.2</v>
      </c>
      <c r="K53" t="s">
        <v>340</v>
      </c>
      <c r="L53" t="s">
        <v>345</v>
      </c>
      <c r="M53">
        <v>2020</v>
      </c>
      <c r="N53" t="s">
        <v>364</v>
      </c>
      <c r="O53">
        <v>1</v>
      </c>
    </row>
    <row r="54" spans="1:15" x14ac:dyDescent="0.3">
      <c r="A54" t="s">
        <v>169</v>
      </c>
      <c r="B54" t="s">
        <v>170</v>
      </c>
      <c r="C54" t="s">
        <v>11</v>
      </c>
      <c r="D54" t="s">
        <v>104</v>
      </c>
      <c r="E54" s="1">
        <v>43984</v>
      </c>
      <c r="F54" t="s">
        <v>21</v>
      </c>
      <c r="G54">
        <v>71100</v>
      </c>
      <c r="H54">
        <v>31.6</v>
      </c>
      <c r="I54">
        <v>13</v>
      </c>
      <c r="J54">
        <v>6</v>
      </c>
      <c r="K54" t="s">
        <v>340</v>
      </c>
      <c r="L54" t="s">
        <v>342</v>
      </c>
      <c r="M54">
        <v>2020</v>
      </c>
      <c r="N54" t="s">
        <v>358</v>
      </c>
      <c r="O54">
        <v>2</v>
      </c>
    </row>
    <row r="55" spans="1:15" x14ac:dyDescent="0.3">
      <c r="A55" t="s">
        <v>173</v>
      </c>
      <c r="B55" t="s">
        <v>174</v>
      </c>
      <c r="C55" t="s">
        <v>16</v>
      </c>
      <c r="D55" t="s">
        <v>45</v>
      </c>
      <c r="E55" s="1">
        <v>44003</v>
      </c>
      <c r="F55" t="s">
        <v>77</v>
      </c>
      <c r="G55">
        <v>36000</v>
      </c>
      <c r="H55">
        <v>31.6</v>
      </c>
      <c r="I55">
        <v>17</v>
      </c>
      <c r="J55">
        <v>6</v>
      </c>
      <c r="K55" t="s">
        <v>340</v>
      </c>
      <c r="L55" t="s">
        <v>343</v>
      </c>
      <c r="M55">
        <v>2020</v>
      </c>
      <c r="N55" t="s">
        <v>358</v>
      </c>
      <c r="O55">
        <v>2</v>
      </c>
    </row>
    <row r="56" spans="1:15" x14ac:dyDescent="0.3">
      <c r="A56" t="s">
        <v>175</v>
      </c>
      <c r="B56" t="s">
        <v>176</v>
      </c>
      <c r="C56" t="s">
        <v>11</v>
      </c>
      <c r="D56" t="s">
        <v>104</v>
      </c>
      <c r="E56" s="1">
        <v>44010</v>
      </c>
      <c r="F56" t="s">
        <v>21</v>
      </c>
      <c r="G56">
        <v>73900</v>
      </c>
      <c r="H56">
        <v>30.1</v>
      </c>
      <c r="I56">
        <v>12</v>
      </c>
      <c r="J56">
        <v>6</v>
      </c>
      <c r="K56" t="s">
        <v>340</v>
      </c>
      <c r="L56" t="s">
        <v>342</v>
      </c>
      <c r="M56">
        <v>2020</v>
      </c>
      <c r="N56" t="s">
        <v>358</v>
      </c>
      <c r="O56">
        <v>2</v>
      </c>
    </row>
    <row r="57" spans="1:15" x14ac:dyDescent="0.3">
      <c r="A57" t="s">
        <v>177</v>
      </c>
      <c r="B57" t="s">
        <v>178</v>
      </c>
      <c r="C57" t="s">
        <v>11</v>
      </c>
      <c r="D57" t="s">
        <v>104</v>
      </c>
      <c r="E57" s="1">
        <v>44021</v>
      </c>
      <c r="F57" t="s">
        <v>21</v>
      </c>
      <c r="G57">
        <v>74900</v>
      </c>
      <c r="H57">
        <v>33.799999999999997</v>
      </c>
      <c r="I57">
        <v>11</v>
      </c>
      <c r="J57">
        <v>5.9</v>
      </c>
      <c r="K57" t="s">
        <v>340</v>
      </c>
      <c r="L57" t="s">
        <v>342</v>
      </c>
      <c r="M57">
        <v>2020</v>
      </c>
      <c r="N57" t="s">
        <v>359</v>
      </c>
      <c r="O57">
        <v>3</v>
      </c>
    </row>
    <row r="58" spans="1:15" x14ac:dyDescent="0.3">
      <c r="A58" t="s">
        <v>179</v>
      </c>
      <c r="B58" t="s">
        <v>180</v>
      </c>
      <c r="C58" t="s">
        <v>16</v>
      </c>
      <c r="D58" t="s">
        <v>104</v>
      </c>
      <c r="E58" s="1">
        <v>44025</v>
      </c>
      <c r="F58" t="s">
        <v>153</v>
      </c>
      <c r="G58">
        <v>47900</v>
      </c>
      <c r="H58">
        <v>31.7</v>
      </c>
      <c r="I58">
        <v>9</v>
      </c>
      <c r="J58">
        <v>5.9</v>
      </c>
      <c r="K58" t="s">
        <v>340</v>
      </c>
      <c r="L58" t="s">
        <v>345</v>
      </c>
      <c r="M58">
        <v>2020</v>
      </c>
      <c r="N58" t="s">
        <v>359</v>
      </c>
      <c r="O58">
        <v>3</v>
      </c>
    </row>
    <row r="59" spans="1:15" x14ac:dyDescent="0.3">
      <c r="A59" t="s">
        <v>181</v>
      </c>
      <c r="B59" t="s">
        <v>182</v>
      </c>
      <c r="C59" t="s">
        <v>16</v>
      </c>
      <c r="D59" t="s">
        <v>104</v>
      </c>
      <c r="E59" s="1">
        <v>44027</v>
      </c>
      <c r="F59" t="s">
        <v>21</v>
      </c>
      <c r="G59">
        <v>74800</v>
      </c>
      <c r="H59">
        <v>31.2</v>
      </c>
      <c r="I59">
        <v>20</v>
      </c>
      <c r="J59">
        <v>5.9</v>
      </c>
      <c r="K59" t="s">
        <v>340</v>
      </c>
      <c r="L59" t="s">
        <v>342</v>
      </c>
      <c r="M59">
        <v>2020</v>
      </c>
      <c r="N59" t="s">
        <v>359</v>
      </c>
      <c r="O59">
        <v>3</v>
      </c>
    </row>
    <row r="60" spans="1:15" x14ac:dyDescent="0.3">
      <c r="A60" t="s">
        <v>183</v>
      </c>
      <c r="B60" t="s">
        <v>184</v>
      </c>
      <c r="C60" t="s">
        <v>16</v>
      </c>
      <c r="D60" t="s">
        <v>104</v>
      </c>
      <c r="E60" s="1">
        <v>44031</v>
      </c>
      <c r="F60" t="s">
        <v>95</v>
      </c>
      <c r="G60">
        <v>41900</v>
      </c>
      <c r="H60">
        <v>35.9</v>
      </c>
      <c r="I60">
        <v>17</v>
      </c>
      <c r="J60">
        <v>5.9</v>
      </c>
      <c r="K60" t="s">
        <v>340</v>
      </c>
      <c r="L60" t="s">
        <v>345</v>
      </c>
      <c r="M60">
        <v>2020</v>
      </c>
      <c r="N60" t="s">
        <v>359</v>
      </c>
      <c r="O60">
        <v>3</v>
      </c>
    </row>
    <row r="61" spans="1:15" x14ac:dyDescent="0.3">
      <c r="A61" t="s">
        <v>185</v>
      </c>
      <c r="B61" t="s">
        <v>186</v>
      </c>
      <c r="C61" t="s">
        <v>11</v>
      </c>
      <c r="D61" t="s">
        <v>45</v>
      </c>
      <c r="E61" s="1">
        <v>44038</v>
      </c>
      <c r="F61" t="s">
        <v>153</v>
      </c>
      <c r="G61">
        <v>49700</v>
      </c>
      <c r="H61">
        <v>30.9</v>
      </c>
      <c r="I61">
        <v>19</v>
      </c>
      <c r="J61">
        <v>5.9</v>
      </c>
      <c r="K61" t="s">
        <v>340</v>
      </c>
      <c r="L61" t="s">
        <v>345</v>
      </c>
      <c r="M61">
        <v>2020</v>
      </c>
      <c r="N61" t="s">
        <v>359</v>
      </c>
      <c r="O61">
        <v>3</v>
      </c>
    </row>
    <row r="62" spans="1:15" x14ac:dyDescent="0.3">
      <c r="A62" t="s">
        <v>187</v>
      </c>
      <c r="B62" t="s">
        <v>188</v>
      </c>
      <c r="C62" t="s">
        <v>16</v>
      </c>
      <c r="D62" t="s">
        <v>104</v>
      </c>
      <c r="E62" s="1">
        <v>44042</v>
      </c>
      <c r="F62" t="s">
        <v>13</v>
      </c>
      <c r="G62">
        <v>83900</v>
      </c>
      <c r="H62">
        <v>31.4</v>
      </c>
      <c r="I62">
        <v>14</v>
      </c>
      <c r="J62">
        <v>5.9</v>
      </c>
      <c r="K62" t="s">
        <v>340</v>
      </c>
      <c r="L62" t="s">
        <v>341</v>
      </c>
      <c r="M62">
        <v>2020</v>
      </c>
      <c r="N62" t="s">
        <v>359</v>
      </c>
      <c r="O62">
        <v>3</v>
      </c>
    </row>
    <row r="63" spans="1:15" x14ac:dyDescent="0.3">
      <c r="A63" t="s">
        <v>189</v>
      </c>
      <c r="B63" t="s">
        <v>190</v>
      </c>
      <c r="C63" t="s">
        <v>11</v>
      </c>
      <c r="D63" t="s">
        <v>45</v>
      </c>
      <c r="E63" s="1">
        <v>44068</v>
      </c>
      <c r="F63" t="s">
        <v>153</v>
      </c>
      <c r="G63">
        <v>46200</v>
      </c>
      <c r="H63">
        <v>30.1</v>
      </c>
      <c r="I63">
        <v>19</v>
      </c>
      <c r="J63">
        <v>5.8</v>
      </c>
      <c r="K63" t="s">
        <v>340</v>
      </c>
      <c r="L63" t="s">
        <v>345</v>
      </c>
      <c r="M63">
        <v>2020</v>
      </c>
      <c r="N63" t="s">
        <v>365</v>
      </c>
      <c r="O63">
        <v>3</v>
      </c>
    </row>
    <row r="64" spans="1:15" x14ac:dyDescent="0.3">
      <c r="A64" t="s">
        <v>191</v>
      </c>
      <c r="B64" t="s">
        <v>192</v>
      </c>
      <c r="C64" t="s">
        <v>16</v>
      </c>
      <c r="D64" t="s">
        <v>104</v>
      </c>
      <c r="E64" s="1">
        <v>44076</v>
      </c>
      <c r="F64" t="s">
        <v>13</v>
      </c>
      <c r="G64">
        <v>81100</v>
      </c>
      <c r="H64">
        <v>34.6</v>
      </c>
      <c r="I64">
        <v>16</v>
      </c>
      <c r="J64">
        <v>5.8</v>
      </c>
      <c r="K64" t="s">
        <v>340</v>
      </c>
      <c r="L64" t="s">
        <v>341</v>
      </c>
      <c r="M64">
        <v>2020</v>
      </c>
      <c r="N64" t="s">
        <v>361</v>
      </c>
      <c r="O64">
        <v>3</v>
      </c>
    </row>
    <row r="65" spans="1:15" x14ac:dyDescent="0.3">
      <c r="A65" t="s">
        <v>199</v>
      </c>
      <c r="B65" t="s">
        <v>116</v>
      </c>
      <c r="C65" t="s">
        <v>16</v>
      </c>
      <c r="D65" t="s">
        <v>104</v>
      </c>
      <c r="E65" s="1">
        <v>44128</v>
      </c>
      <c r="F65" t="s">
        <v>13</v>
      </c>
      <c r="G65">
        <v>81400</v>
      </c>
      <c r="H65">
        <v>35.200000000000003</v>
      </c>
      <c r="I65">
        <v>19</v>
      </c>
      <c r="J65">
        <v>5.6</v>
      </c>
      <c r="K65" t="s">
        <v>340</v>
      </c>
      <c r="L65" t="s">
        <v>341</v>
      </c>
      <c r="M65">
        <v>2020</v>
      </c>
      <c r="N65" t="s">
        <v>362</v>
      </c>
      <c r="O65">
        <v>4</v>
      </c>
    </row>
    <row r="66" spans="1:15" x14ac:dyDescent="0.3">
      <c r="A66" t="s">
        <v>200</v>
      </c>
      <c r="B66" t="s">
        <v>201</v>
      </c>
      <c r="C66" t="s">
        <v>11</v>
      </c>
      <c r="D66" t="s">
        <v>45</v>
      </c>
      <c r="E66" s="1">
        <v>44158</v>
      </c>
      <c r="F66" t="s">
        <v>153</v>
      </c>
      <c r="G66">
        <v>49400</v>
      </c>
      <c r="H66">
        <v>31.1</v>
      </c>
      <c r="I66">
        <v>20</v>
      </c>
      <c r="J66">
        <v>5.6</v>
      </c>
      <c r="K66" t="s">
        <v>340</v>
      </c>
      <c r="L66" t="s">
        <v>345</v>
      </c>
      <c r="M66">
        <v>2020</v>
      </c>
      <c r="N66" t="s">
        <v>360</v>
      </c>
      <c r="O66">
        <v>4</v>
      </c>
    </row>
    <row r="67" spans="1:15" x14ac:dyDescent="0.3">
      <c r="A67" t="s">
        <v>203</v>
      </c>
      <c r="B67" t="s">
        <v>204</v>
      </c>
      <c r="C67" t="s">
        <v>16</v>
      </c>
      <c r="D67" t="s">
        <v>12</v>
      </c>
      <c r="E67" s="1">
        <v>44203</v>
      </c>
      <c r="F67" t="s">
        <v>42</v>
      </c>
      <c r="G67">
        <v>62300</v>
      </c>
      <c r="H67">
        <v>33.799999999999997</v>
      </c>
      <c r="I67">
        <v>23</v>
      </c>
      <c r="J67">
        <v>5.4</v>
      </c>
      <c r="K67" t="s">
        <v>340</v>
      </c>
      <c r="L67" t="s">
        <v>342</v>
      </c>
      <c r="M67">
        <v>2021</v>
      </c>
      <c r="N67" t="s">
        <v>366</v>
      </c>
      <c r="O67">
        <v>1</v>
      </c>
    </row>
    <row r="68" spans="1:15" x14ac:dyDescent="0.3">
      <c r="A68" t="s">
        <v>207</v>
      </c>
      <c r="B68" t="s">
        <v>208</v>
      </c>
      <c r="C68" t="s">
        <v>16</v>
      </c>
      <c r="D68" t="s">
        <v>104</v>
      </c>
      <c r="E68" s="1">
        <v>44245</v>
      </c>
      <c r="F68" t="s">
        <v>24</v>
      </c>
      <c r="G68">
        <v>38300</v>
      </c>
      <c r="H68">
        <v>32.700000000000003</v>
      </c>
      <c r="I68">
        <v>12</v>
      </c>
      <c r="J68">
        <v>5.3</v>
      </c>
      <c r="K68" t="s">
        <v>340</v>
      </c>
      <c r="L68" t="s">
        <v>343</v>
      </c>
      <c r="M68">
        <v>2021</v>
      </c>
      <c r="N68" t="s">
        <v>367</v>
      </c>
      <c r="O68">
        <v>1</v>
      </c>
    </row>
    <row r="69" spans="1:15" x14ac:dyDescent="0.3">
      <c r="A69" t="s">
        <v>209</v>
      </c>
      <c r="B69" t="s">
        <v>210</v>
      </c>
      <c r="C69" t="s">
        <v>11</v>
      </c>
      <c r="D69" t="s">
        <v>104</v>
      </c>
      <c r="E69" s="1">
        <v>44297</v>
      </c>
      <c r="F69" t="s">
        <v>95</v>
      </c>
      <c r="G69">
        <v>42800</v>
      </c>
      <c r="H69">
        <v>31.2</v>
      </c>
      <c r="I69">
        <v>18</v>
      </c>
      <c r="J69">
        <v>5.2</v>
      </c>
      <c r="K69" t="s">
        <v>340</v>
      </c>
      <c r="L69" t="s">
        <v>345</v>
      </c>
      <c r="M69">
        <v>2021</v>
      </c>
      <c r="N69" t="s">
        <v>357</v>
      </c>
      <c r="O69">
        <v>2</v>
      </c>
    </row>
    <row r="70" spans="1:15" x14ac:dyDescent="0.3">
      <c r="A70" t="s">
        <v>211</v>
      </c>
      <c r="B70" t="s">
        <v>212</v>
      </c>
      <c r="C70" t="s">
        <v>16</v>
      </c>
      <c r="D70" t="s">
        <v>104</v>
      </c>
      <c r="E70" s="1">
        <v>44311</v>
      </c>
      <c r="F70" t="s">
        <v>95</v>
      </c>
      <c r="G70">
        <v>44400</v>
      </c>
      <c r="H70">
        <v>31.5</v>
      </c>
      <c r="I70">
        <v>18</v>
      </c>
      <c r="J70">
        <v>5.0999999999999996</v>
      </c>
      <c r="K70" t="s">
        <v>340</v>
      </c>
      <c r="L70" t="s">
        <v>345</v>
      </c>
      <c r="M70">
        <v>2021</v>
      </c>
      <c r="N70" t="s">
        <v>357</v>
      </c>
      <c r="O70">
        <v>2</v>
      </c>
    </row>
    <row r="71" spans="1:15" x14ac:dyDescent="0.3">
      <c r="A71" t="s">
        <v>213</v>
      </c>
      <c r="B71" t="s">
        <v>214</v>
      </c>
      <c r="C71" t="s">
        <v>16</v>
      </c>
      <c r="D71" t="s">
        <v>104</v>
      </c>
      <c r="E71" s="1">
        <v>44312</v>
      </c>
      <c r="F71" t="s">
        <v>24</v>
      </c>
      <c r="G71">
        <v>38800</v>
      </c>
      <c r="H71">
        <v>31.9</v>
      </c>
      <c r="I71">
        <v>20</v>
      </c>
      <c r="J71">
        <v>5.0999999999999996</v>
      </c>
      <c r="K71" t="s">
        <v>340</v>
      </c>
      <c r="L71" t="s">
        <v>343</v>
      </c>
      <c r="M71">
        <v>2021</v>
      </c>
      <c r="N71" t="s">
        <v>357</v>
      </c>
      <c r="O71">
        <v>2</v>
      </c>
    </row>
    <row r="72" spans="1:15" x14ac:dyDescent="0.3">
      <c r="A72" t="s">
        <v>215</v>
      </c>
      <c r="B72" t="s">
        <v>74</v>
      </c>
      <c r="C72" t="s">
        <v>11</v>
      </c>
      <c r="D72" t="s">
        <v>45</v>
      </c>
      <c r="E72" s="1">
        <v>44321</v>
      </c>
      <c r="F72" t="s">
        <v>56</v>
      </c>
      <c r="G72">
        <v>58500</v>
      </c>
      <c r="H72">
        <v>31.3</v>
      </c>
      <c r="I72">
        <v>23</v>
      </c>
      <c r="J72">
        <v>5.0999999999999996</v>
      </c>
      <c r="K72" t="s">
        <v>340</v>
      </c>
      <c r="L72" t="s">
        <v>345</v>
      </c>
      <c r="M72">
        <v>2021</v>
      </c>
      <c r="N72" t="s">
        <v>344</v>
      </c>
      <c r="O72">
        <v>2</v>
      </c>
    </row>
    <row r="73" spans="1:15" x14ac:dyDescent="0.3">
      <c r="A73" t="s">
        <v>216</v>
      </c>
      <c r="B73" t="s">
        <v>217</v>
      </c>
      <c r="C73" t="s">
        <v>16</v>
      </c>
      <c r="D73" t="s">
        <v>104</v>
      </c>
      <c r="E73" s="1">
        <v>44341</v>
      </c>
      <c r="F73" t="s">
        <v>24</v>
      </c>
      <c r="G73">
        <v>39700</v>
      </c>
      <c r="H73">
        <v>31.1</v>
      </c>
      <c r="I73">
        <v>16</v>
      </c>
      <c r="J73">
        <v>5.0999999999999996</v>
      </c>
      <c r="K73" t="s">
        <v>340</v>
      </c>
      <c r="L73" t="s">
        <v>343</v>
      </c>
      <c r="M73">
        <v>2021</v>
      </c>
      <c r="N73" t="s">
        <v>344</v>
      </c>
      <c r="O73">
        <v>2</v>
      </c>
    </row>
    <row r="74" spans="1:15" x14ac:dyDescent="0.3">
      <c r="A74" t="s">
        <v>218</v>
      </c>
      <c r="B74" t="s">
        <v>196</v>
      </c>
      <c r="C74" t="s">
        <v>11</v>
      </c>
      <c r="D74" t="s">
        <v>45</v>
      </c>
      <c r="E74" s="1">
        <v>44341</v>
      </c>
      <c r="F74" t="s">
        <v>95</v>
      </c>
      <c r="G74">
        <v>44000</v>
      </c>
      <c r="H74">
        <v>30.9</v>
      </c>
      <c r="I74">
        <v>15</v>
      </c>
      <c r="J74">
        <v>5.0999999999999996</v>
      </c>
      <c r="K74" t="s">
        <v>340</v>
      </c>
      <c r="L74" t="s">
        <v>345</v>
      </c>
      <c r="M74">
        <v>2021</v>
      </c>
      <c r="N74" t="s">
        <v>344</v>
      </c>
      <c r="O74">
        <v>2</v>
      </c>
    </row>
    <row r="75" spans="1:15" x14ac:dyDescent="0.3">
      <c r="A75" t="s">
        <v>219</v>
      </c>
      <c r="B75" t="s">
        <v>220</v>
      </c>
      <c r="C75" t="s">
        <v>16</v>
      </c>
      <c r="D75" t="s">
        <v>104</v>
      </c>
      <c r="E75" s="1">
        <v>44344</v>
      </c>
      <c r="F75" t="s">
        <v>95</v>
      </c>
      <c r="G75">
        <v>42100</v>
      </c>
      <c r="H75">
        <v>35.9</v>
      </c>
      <c r="I75">
        <v>16</v>
      </c>
      <c r="J75">
        <v>5</v>
      </c>
      <c r="K75" t="s">
        <v>340</v>
      </c>
      <c r="L75" t="s">
        <v>345</v>
      </c>
      <c r="M75">
        <v>2021</v>
      </c>
      <c r="N75" t="s">
        <v>344</v>
      </c>
      <c r="O75">
        <v>2</v>
      </c>
    </row>
    <row r="76" spans="1:15" x14ac:dyDescent="0.3">
      <c r="A76" t="s">
        <v>221</v>
      </c>
      <c r="B76" t="s">
        <v>222</v>
      </c>
      <c r="C76" t="s">
        <v>16</v>
      </c>
      <c r="D76" t="s">
        <v>104</v>
      </c>
      <c r="E76" s="1">
        <v>44364</v>
      </c>
      <c r="F76" t="s">
        <v>95</v>
      </c>
      <c r="G76">
        <v>44600</v>
      </c>
      <c r="H76">
        <v>36.799999999999997</v>
      </c>
      <c r="I76">
        <v>10</v>
      </c>
      <c r="J76">
        <v>5</v>
      </c>
      <c r="K76" t="s">
        <v>340</v>
      </c>
      <c r="L76" t="s">
        <v>345</v>
      </c>
      <c r="M76">
        <v>2021</v>
      </c>
      <c r="N76" t="s">
        <v>358</v>
      </c>
      <c r="O76">
        <v>2</v>
      </c>
    </row>
    <row r="77" spans="1:15" x14ac:dyDescent="0.3">
      <c r="A77" t="s">
        <v>223</v>
      </c>
      <c r="B77" t="s">
        <v>224</v>
      </c>
      <c r="C77" t="s">
        <v>16</v>
      </c>
      <c r="D77" t="s">
        <v>104</v>
      </c>
      <c r="E77" s="1">
        <v>44369</v>
      </c>
      <c r="F77" t="s">
        <v>153</v>
      </c>
      <c r="G77">
        <v>47000</v>
      </c>
      <c r="H77">
        <v>32.299999999999997</v>
      </c>
      <c r="I77">
        <v>22</v>
      </c>
      <c r="J77">
        <v>5</v>
      </c>
      <c r="K77" t="s">
        <v>340</v>
      </c>
      <c r="L77" t="s">
        <v>345</v>
      </c>
      <c r="M77">
        <v>2021</v>
      </c>
      <c r="N77" t="s">
        <v>358</v>
      </c>
      <c r="O77">
        <v>2</v>
      </c>
    </row>
    <row r="78" spans="1:15" x14ac:dyDescent="0.3">
      <c r="A78" t="s">
        <v>227</v>
      </c>
      <c r="B78" t="s">
        <v>228</v>
      </c>
      <c r="C78" t="s">
        <v>16</v>
      </c>
      <c r="D78" t="s">
        <v>104</v>
      </c>
      <c r="E78" s="1">
        <v>44401</v>
      </c>
      <c r="F78" t="s">
        <v>95</v>
      </c>
      <c r="G78">
        <v>41800</v>
      </c>
      <c r="H78">
        <v>31.1</v>
      </c>
      <c r="I78">
        <v>18</v>
      </c>
      <c r="J78">
        <v>4.9000000000000004</v>
      </c>
      <c r="K78" t="s">
        <v>340</v>
      </c>
      <c r="L78" t="s">
        <v>345</v>
      </c>
      <c r="M78">
        <v>2021</v>
      </c>
      <c r="N78" t="s">
        <v>359</v>
      </c>
      <c r="O78">
        <v>3</v>
      </c>
    </row>
    <row r="79" spans="1:15" x14ac:dyDescent="0.3">
      <c r="A79" t="s">
        <v>229</v>
      </c>
      <c r="B79" t="s">
        <v>230</v>
      </c>
      <c r="C79" t="s">
        <v>16</v>
      </c>
      <c r="D79" t="s">
        <v>104</v>
      </c>
      <c r="E79" s="1">
        <v>44406</v>
      </c>
      <c r="F79" t="s">
        <v>95</v>
      </c>
      <c r="G79">
        <v>45000</v>
      </c>
      <c r="H79">
        <v>36.299999999999997</v>
      </c>
      <c r="I79">
        <v>2</v>
      </c>
      <c r="J79">
        <v>4.9000000000000004</v>
      </c>
      <c r="K79" t="s">
        <v>340</v>
      </c>
      <c r="L79" t="s">
        <v>345</v>
      </c>
      <c r="M79">
        <v>2021</v>
      </c>
      <c r="N79" t="s">
        <v>359</v>
      </c>
      <c r="O79">
        <v>3</v>
      </c>
    </row>
    <row r="80" spans="1:15" x14ac:dyDescent="0.3">
      <c r="A80" t="s">
        <v>231</v>
      </c>
      <c r="B80" t="s">
        <v>232</v>
      </c>
      <c r="C80" t="s">
        <v>16</v>
      </c>
      <c r="D80" t="s">
        <v>104</v>
      </c>
      <c r="E80" s="1">
        <v>44416</v>
      </c>
      <c r="F80" t="s">
        <v>95</v>
      </c>
      <c r="G80">
        <v>41500</v>
      </c>
      <c r="H80">
        <v>32.299999999999997</v>
      </c>
      <c r="I80">
        <v>17</v>
      </c>
      <c r="J80">
        <v>4.9000000000000004</v>
      </c>
      <c r="K80" t="s">
        <v>340</v>
      </c>
      <c r="L80" t="s">
        <v>345</v>
      </c>
      <c r="M80">
        <v>2021</v>
      </c>
      <c r="N80" t="s">
        <v>365</v>
      </c>
      <c r="O80">
        <v>3</v>
      </c>
    </row>
    <row r="81" spans="1:15" x14ac:dyDescent="0.3">
      <c r="A81" t="s">
        <v>233</v>
      </c>
      <c r="B81" t="s">
        <v>234</v>
      </c>
      <c r="C81" t="s">
        <v>11</v>
      </c>
      <c r="D81" t="s">
        <v>45</v>
      </c>
      <c r="E81" s="1">
        <v>44425</v>
      </c>
      <c r="F81" t="s">
        <v>24</v>
      </c>
      <c r="G81">
        <v>39800</v>
      </c>
      <c r="H81">
        <v>31.3</v>
      </c>
      <c r="I81">
        <v>15</v>
      </c>
      <c r="J81">
        <v>4.8</v>
      </c>
      <c r="K81" t="s">
        <v>340</v>
      </c>
      <c r="L81" t="s">
        <v>343</v>
      </c>
      <c r="M81">
        <v>2021</v>
      </c>
      <c r="N81" t="s">
        <v>365</v>
      </c>
      <c r="O81">
        <v>3</v>
      </c>
    </row>
    <row r="82" spans="1:15" x14ac:dyDescent="0.3">
      <c r="A82" t="s">
        <v>235</v>
      </c>
      <c r="B82" t="s">
        <v>170</v>
      </c>
      <c r="C82" t="s">
        <v>11</v>
      </c>
      <c r="D82" t="s">
        <v>104</v>
      </c>
      <c r="E82" s="1">
        <v>44463</v>
      </c>
      <c r="F82" t="s">
        <v>21</v>
      </c>
      <c r="G82">
        <v>73200</v>
      </c>
      <c r="H82">
        <v>30.6</v>
      </c>
      <c r="I82">
        <v>12</v>
      </c>
      <c r="J82">
        <v>4.7</v>
      </c>
      <c r="K82" t="s">
        <v>340</v>
      </c>
      <c r="L82" t="s">
        <v>342</v>
      </c>
      <c r="M82">
        <v>2021</v>
      </c>
      <c r="N82" t="s">
        <v>361</v>
      </c>
      <c r="O82">
        <v>3</v>
      </c>
    </row>
    <row r="83" spans="1:15" x14ac:dyDescent="0.3">
      <c r="A83" t="s">
        <v>236</v>
      </c>
      <c r="B83" t="s">
        <v>237</v>
      </c>
      <c r="C83" t="s">
        <v>16</v>
      </c>
      <c r="D83" t="s">
        <v>119</v>
      </c>
      <c r="E83" s="1">
        <v>44468</v>
      </c>
      <c r="F83" t="s">
        <v>39</v>
      </c>
      <c r="G83">
        <v>79300</v>
      </c>
      <c r="H83">
        <v>34.9</v>
      </c>
      <c r="I83">
        <v>18</v>
      </c>
      <c r="J83">
        <v>4.7</v>
      </c>
      <c r="K83" t="s">
        <v>340</v>
      </c>
      <c r="L83" t="s">
        <v>342</v>
      </c>
      <c r="M83">
        <v>2021</v>
      </c>
      <c r="N83" t="s">
        <v>361</v>
      </c>
      <c r="O83">
        <v>3</v>
      </c>
    </row>
    <row r="84" spans="1:15" x14ac:dyDescent="0.3">
      <c r="A84" t="s">
        <v>238</v>
      </c>
      <c r="B84" t="s">
        <v>239</v>
      </c>
      <c r="C84" t="s">
        <v>16</v>
      </c>
      <c r="D84" t="s">
        <v>45</v>
      </c>
      <c r="E84" s="1">
        <v>44497</v>
      </c>
      <c r="F84" t="s">
        <v>39</v>
      </c>
      <c r="G84">
        <v>78900</v>
      </c>
      <c r="H84">
        <v>30.3</v>
      </c>
      <c r="I84">
        <v>17</v>
      </c>
      <c r="J84">
        <v>4.5999999999999996</v>
      </c>
      <c r="K84" t="s">
        <v>340</v>
      </c>
      <c r="L84" t="s">
        <v>342</v>
      </c>
      <c r="M84">
        <v>2021</v>
      </c>
      <c r="N84" t="s">
        <v>362</v>
      </c>
      <c r="O84">
        <v>4</v>
      </c>
    </row>
    <row r="85" spans="1:15" x14ac:dyDescent="0.3">
      <c r="A85" t="s">
        <v>243</v>
      </c>
      <c r="B85" t="s">
        <v>244</v>
      </c>
      <c r="C85" t="s">
        <v>11</v>
      </c>
      <c r="D85" t="s">
        <v>45</v>
      </c>
      <c r="E85" s="1">
        <v>44510</v>
      </c>
      <c r="F85" t="s">
        <v>56</v>
      </c>
      <c r="G85">
        <v>58100</v>
      </c>
      <c r="H85">
        <v>31</v>
      </c>
      <c r="I85">
        <v>16</v>
      </c>
      <c r="J85">
        <v>4.5999999999999996</v>
      </c>
      <c r="K85" t="s">
        <v>340</v>
      </c>
      <c r="L85" t="s">
        <v>345</v>
      </c>
      <c r="M85">
        <v>2021</v>
      </c>
      <c r="N85" t="s">
        <v>360</v>
      </c>
      <c r="O85">
        <v>4</v>
      </c>
    </row>
    <row r="86" spans="1:15" x14ac:dyDescent="0.3">
      <c r="A86" t="s">
        <v>245</v>
      </c>
      <c r="B86" t="s">
        <v>246</v>
      </c>
      <c r="C86" t="s">
        <v>11</v>
      </c>
      <c r="D86" t="s">
        <v>45</v>
      </c>
      <c r="E86" s="1">
        <v>44520</v>
      </c>
      <c r="F86" t="s">
        <v>80</v>
      </c>
      <c r="G86">
        <v>51300</v>
      </c>
      <c r="H86">
        <v>32.700000000000003</v>
      </c>
      <c r="I86">
        <v>23</v>
      </c>
      <c r="J86">
        <v>4.5999999999999996</v>
      </c>
      <c r="K86" t="s">
        <v>340</v>
      </c>
      <c r="L86" t="s">
        <v>345</v>
      </c>
      <c r="M86">
        <v>2021</v>
      </c>
      <c r="N86" t="s">
        <v>360</v>
      </c>
      <c r="O86">
        <v>4</v>
      </c>
    </row>
    <row r="87" spans="1:15" x14ac:dyDescent="0.3">
      <c r="A87" t="s">
        <v>247</v>
      </c>
      <c r="B87" t="s">
        <v>118</v>
      </c>
      <c r="C87" t="s">
        <v>16</v>
      </c>
      <c r="D87" t="s">
        <v>119</v>
      </c>
      <c r="E87" s="1">
        <v>44529</v>
      </c>
      <c r="F87" t="s">
        <v>39</v>
      </c>
      <c r="G87">
        <v>77100</v>
      </c>
      <c r="H87">
        <v>31.7</v>
      </c>
      <c r="I87">
        <v>9</v>
      </c>
      <c r="J87">
        <v>4.5</v>
      </c>
      <c r="K87" t="s">
        <v>340</v>
      </c>
      <c r="L87" t="s">
        <v>342</v>
      </c>
      <c r="M87">
        <v>2021</v>
      </c>
      <c r="N87" t="s">
        <v>360</v>
      </c>
      <c r="O87">
        <v>4</v>
      </c>
    </row>
    <row r="88" spans="1:15" x14ac:dyDescent="0.3">
      <c r="A88" t="s">
        <v>248</v>
      </c>
      <c r="B88" t="s">
        <v>249</v>
      </c>
      <c r="C88" t="s">
        <v>16</v>
      </c>
      <c r="D88" t="s">
        <v>119</v>
      </c>
      <c r="E88" s="1">
        <v>44543</v>
      </c>
      <c r="F88" t="s">
        <v>39</v>
      </c>
      <c r="G88">
        <v>77000</v>
      </c>
      <c r="H88">
        <v>36.299999999999997</v>
      </c>
      <c r="I88">
        <v>17</v>
      </c>
      <c r="J88">
        <v>4.5</v>
      </c>
      <c r="K88" t="s">
        <v>340</v>
      </c>
      <c r="L88" t="s">
        <v>342</v>
      </c>
      <c r="M88">
        <v>2021</v>
      </c>
      <c r="N88" t="s">
        <v>363</v>
      </c>
      <c r="O88">
        <v>4</v>
      </c>
    </row>
    <row r="89" spans="1:15" x14ac:dyDescent="0.3">
      <c r="A89" t="s">
        <v>252</v>
      </c>
      <c r="B89" t="s">
        <v>253</v>
      </c>
      <c r="C89" t="s">
        <v>11</v>
      </c>
      <c r="D89" t="s">
        <v>119</v>
      </c>
      <c r="E89" s="1">
        <v>44563</v>
      </c>
      <c r="F89" t="s">
        <v>24</v>
      </c>
      <c r="G89">
        <v>33000</v>
      </c>
      <c r="H89">
        <v>31.8</v>
      </c>
      <c r="I89">
        <v>24</v>
      </c>
      <c r="J89">
        <v>4.4000000000000004</v>
      </c>
      <c r="K89" t="s">
        <v>340</v>
      </c>
      <c r="L89" t="s">
        <v>343</v>
      </c>
      <c r="M89">
        <v>2022</v>
      </c>
      <c r="N89" t="s">
        <v>366</v>
      </c>
      <c r="O89">
        <v>1</v>
      </c>
    </row>
    <row r="90" spans="1:15" x14ac:dyDescent="0.3">
      <c r="A90" t="s">
        <v>254</v>
      </c>
      <c r="B90" t="s">
        <v>255</v>
      </c>
      <c r="C90" t="s">
        <v>16</v>
      </c>
      <c r="D90" t="s">
        <v>119</v>
      </c>
      <c r="E90" s="1">
        <v>44599</v>
      </c>
      <c r="F90" t="s">
        <v>39</v>
      </c>
      <c r="G90">
        <v>79200</v>
      </c>
      <c r="H90">
        <v>31.4</v>
      </c>
      <c r="I90">
        <v>14</v>
      </c>
      <c r="J90">
        <v>4.4000000000000004</v>
      </c>
      <c r="K90" t="s">
        <v>340</v>
      </c>
      <c r="L90" t="s">
        <v>342</v>
      </c>
      <c r="M90">
        <v>2022</v>
      </c>
      <c r="N90" t="s">
        <v>367</v>
      </c>
      <c r="O90">
        <v>1</v>
      </c>
    </row>
    <row r="91" spans="1:15" x14ac:dyDescent="0.3">
      <c r="A91" t="s">
        <v>256</v>
      </c>
      <c r="B91" t="s">
        <v>257</v>
      </c>
      <c r="C91" t="s">
        <v>11</v>
      </c>
      <c r="D91" t="s">
        <v>119</v>
      </c>
      <c r="E91" s="1">
        <v>44606</v>
      </c>
      <c r="F91" t="s">
        <v>153</v>
      </c>
      <c r="G91">
        <v>45900</v>
      </c>
      <c r="H91">
        <v>37.4</v>
      </c>
      <c r="I91">
        <v>16</v>
      </c>
      <c r="J91">
        <v>4.3</v>
      </c>
      <c r="K91" t="s">
        <v>340</v>
      </c>
      <c r="L91" t="s">
        <v>345</v>
      </c>
      <c r="M91">
        <v>2022</v>
      </c>
      <c r="N91" t="s">
        <v>367</v>
      </c>
      <c r="O91">
        <v>1</v>
      </c>
    </row>
    <row r="92" spans="1:15" x14ac:dyDescent="0.3">
      <c r="A92" t="s">
        <v>264</v>
      </c>
      <c r="B92" t="s">
        <v>265</v>
      </c>
      <c r="C92" t="s">
        <v>11</v>
      </c>
      <c r="D92" t="s">
        <v>119</v>
      </c>
      <c r="E92" s="1">
        <v>44639</v>
      </c>
      <c r="F92" t="s">
        <v>153</v>
      </c>
      <c r="G92">
        <v>46400</v>
      </c>
      <c r="H92">
        <v>37.1</v>
      </c>
      <c r="I92">
        <v>11</v>
      </c>
      <c r="J92">
        <v>4.2</v>
      </c>
      <c r="K92" t="s">
        <v>340</v>
      </c>
      <c r="L92" t="s">
        <v>345</v>
      </c>
      <c r="M92">
        <v>2022</v>
      </c>
      <c r="N92" t="s">
        <v>364</v>
      </c>
      <c r="O92">
        <v>1</v>
      </c>
    </row>
    <row r="93" spans="1:15" x14ac:dyDescent="0.3">
      <c r="A93" t="s">
        <v>266</v>
      </c>
      <c r="B93" t="s">
        <v>267</v>
      </c>
      <c r="C93" t="s">
        <v>11</v>
      </c>
      <c r="D93" t="s">
        <v>119</v>
      </c>
      <c r="E93" s="1">
        <v>44650</v>
      </c>
      <c r="F93" t="s">
        <v>24</v>
      </c>
      <c r="G93">
        <v>38200</v>
      </c>
      <c r="H93">
        <v>31.1</v>
      </c>
      <c r="I93">
        <v>16</v>
      </c>
      <c r="J93">
        <v>4.2</v>
      </c>
      <c r="K93" t="s">
        <v>340</v>
      </c>
      <c r="L93" t="s">
        <v>343</v>
      </c>
      <c r="M93">
        <v>2022</v>
      </c>
      <c r="N93" t="s">
        <v>364</v>
      </c>
      <c r="O93">
        <v>1</v>
      </c>
    </row>
    <row r="94" spans="1:15" x14ac:dyDescent="0.3">
      <c r="A94" t="s">
        <v>270</v>
      </c>
      <c r="B94" t="s">
        <v>271</v>
      </c>
      <c r="C94" t="s">
        <v>16</v>
      </c>
      <c r="D94" t="s">
        <v>119</v>
      </c>
      <c r="E94" s="1">
        <v>44692</v>
      </c>
      <c r="F94" t="s">
        <v>80</v>
      </c>
      <c r="G94">
        <v>51100</v>
      </c>
      <c r="H94">
        <v>32.5</v>
      </c>
      <c r="I94">
        <v>10</v>
      </c>
      <c r="J94">
        <v>4.0999999999999996</v>
      </c>
      <c r="K94" t="s">
        <v>340</v>
      </c>
      <c r="L94" t="s">
        <v>345</v>
      </c>
      <c r="M94">
        <v>2022</v>
      </c>
      <c r="N94" t="s">
        <v>344</v>
      </c>
      <c r="O94">
        <v>2</v>
      </c>
    </row>
    <row r="95" spans="1:15" x14ac:dyDescent="0.3">
      <c r="A95" t="s">
        <v>272</v>
      </c>
      <c r="B95" t="s">
        <v>273</v>
      </c>
      <c r="C95" t="s">
        <v>16</v>
      </c>
      <c r="D95" t="s">
        <v>119</v>
      </c>
      <c r="E95" s="1">
        <v>44700</v>
      </c>
      <c r="F95" t="s">
        <v>77</v>
      </c>
      <c r="G95">
        <v>36200</v>
      </c>
      <c r="H95">
        <v>39.799999999999997</v>
      </c>
      <c r="I95">
        <v>14</v>
      </c>
      <c r="J95">
        <v>4.0999999999999996</v>
      </c>
      <c r="K95" t="s">
        <v>340</v>
      </c>
      <c r="L95" t="s">
        <v>343</v>
      </c>
      <c r="M95">
        <v>2022</v>
      </c>
      <c r="N95" t="s">
        <v>344</v>
      </c>
      <c r="O95">
        <v>2</v>
      </c>
    </row>
    <row r="96" spans="1:15" x14ac:dyDescent="0.3">
      <c r="A96" t="s">
        <v>276</v>
      </c>
      <c r="B96" t="s">
        <v>277</v>
      </c>
      <c r="C96" t="s">
        <v>16</v>
      </c>
      <c r="D96" t="s">
        <v>104</v>
      </c>
      <c r="E96" s="1">
        <v>44746</v>
      </c>
      <c r="F96" t="s">
        <v>13</v>
      </c>
      <c r="G96">
        <v>83600</v>
      </c>
      <c r="H96">
        <v>33.1</v>
      </c>
      <c r="I96">
        <v>18</v>
      </c>
      <c r="J96">
        <v>3.9</v>
      </c>
      <c r="K96" t="s">
        <v>340</v>
      </c>
      <c r="L96" t="s">
        <v>341</v>
      </c>
      <c r="M96">
        <v>2022</v>
      </c>
      <c r="N96" t="s">
        <v>359</v>
      </c>
      <c r="O96">
        <v>3</v>
      </c>
    </row>
    <row r="97" spans="1:15" x14ac:dyDescent="0.3">
      <c r="A97" t="s">
        <v>278</v>
      </c>
      <c r="B97" t="s">
        <v>279</v>
      </c>
      <c r="C97" t="s">
        <v>11</v>
      </c>
      <c r="D97" t="s">
        <v>119</v>
      </c>
      <c r="E97" s="1">
        <v>44754</v>
      </c>
      <c r="F97" t="s">
        <v>77</v>
      </c>
      <c r="G97">
        <v>34900</v>
      </c>
      <c r="H97">
        <v>30.2</v>
      </c>
      <c r="I97">
        <v>19</v>
      </c>
      <c r="J97">
        <v>3.9</v>
      </c>
      <c r="K97" t="s">
        <v>340</v>
      </c>
      <c r="L97" t="s">
        <v>343</v>
      </c>
      <c r="M97">
        <v>2022</v>
      </c>
      <c r="N97" t="s">
        <v>359</v>
      </c>
      <c r="O97">
        <v>3</v>
      </c>
    </row>
    <row r="98" spans="1:15" x14ac:dyDescent="0.3">
      <c r="A98" t="s">
        <v>280</v>
      </c>
      <c r="B98" t="s">
        <v>281</v>
      </c>
      <c r="C98" t="s">
        <v>11</v>
      </c>
      <c r="D98" t="s">
        <v>119</v>
      </c>
      <c r="E98" s="1">
        <v>44777</v>
      </c>
      <c r="F98" t="s">
        <v>77</v>
      </c>
      <c r="G98">
        <v>28900</v>
      </c>
      <c r="H98">
        <v>30.3</v>
      </c>
      <c r="I98">
        <v>16</v>
      </c>
      <c r="J98">
        <v>3.9</v>
      </c>
      <c r="K98" t="s">
        <v>340</v>
      </c>
      <c r="L98" t="s">
        <v>343</v>
      </c>
      <c r="M98">
        <v>2022</v>
      </c>
      <c r="N98" t="s">
        <v>365</v>
      </c>
      <c r="O98">
        <v>3</v>
      </c>
    </row>
    <row r="99" spans="1:15" x14ac:dyDescent="0.3">
      <c r="A99" t="s">
        <v>282</v>
      </c>
      <c r="B99" t="s">
        <v>283</v>
      </c>
      <c r="C99" t="s">
        <v>16</v>
      </c>
      <c r="D99" t="s">
        <v>119</v>
      </c>
      <c r="E99" s="1">
        <v>44785</v>
      </c>
      <c r="F99" t="s">
        <v>77</v>
      </c>
      <c r="G99">
        <v>35100</v>
      </c>
      <c r="H99">
        <v>35.700000000000003</v>
      </c>
      <c r="I99">
        <v>21</v>
      </c>
      <c r="J99">
        <v>3.8</v>
      </c>
      <c r="K99" t="s">
        <v>340</v>
      </c>
      <c r="L99" t="s">
        <v>343</v>
      </c>
      <c r="M99">
        <v>2022</v>
      </c>
      <c r="N99" t="s">
        <v>365</v>
      </c>
      <c r="O99">
        <v>3</v>
      </c>
    </row>
    <row r="100" spans="1:15" x14ac:dyDescent="0.3">
      <c r="A100" t="s">
        <v>284</v>
      </c>
      <c r="B100" t="s">
        <v>285</v>
      </c>
      <c r="C100" t="s">
        <v>11</v>
      </c>
      <c r="D100" t="s">
        <v>119</v>
      </c>
      <c r="E100" s="1">
        <v>44809</v>
      </c>
      <c r="F100" t="s">
        <v>77</v>
      </c>
      <c r="G100">
        <v>31400</v>
      </c>
      <c r="H100">
        <v>34.299999999999997</v>
      </c>
      <c r="I100">
        <v>16</v>
      </c>
      <c r="J100">
        <v>3.8</v>
      </c>
      <c r="K100" t="s">
        <v>340</v>
      </c>
      <c r="L100" t="s">
        <v>343</v>
      </c>
      <c r="M100">
        <v>2022</v>
      </c>
      <c r="N100" t="s">
        <v>361</v>
      </c>
      <c r="O100">
        <v>3</v>
      </c>
    </row>
    <row r="101" spans="1:15" x14ac:dyDescent="0.3">
      <c r="A101" t="s">
        <v>286</v>
      </c>
      <c r="B101" t="s">
        <v>287</v>
      </c>
      <c r="C101" t="s">
        <v>16</v>
      </c>
      <c r="D101" t="s">
        <v>119</v>
      </c>
      <c r="E101" s="1">
        <v>44832</v>
      </c>
      <c r="F101" t="s">
        <v>77</v>
      </c>
      <c r="G101">
        <v>35200</v>
      </c>
      <c r="H101">
        <v>33.700000000000003</v>
      </c>
      <c r="I101">
        <v>21</v>
      </c>
      <c r="J101">
        <v>3.7</v>
      </c>
      <c r="K101" t="s">
        <v>340</v>
      </c>
      <c r="L101" t="s">
        <v>343</v>
      </c>
      <c r="M101">
        <v>2022</v>
      </c>
      <c r="N101" t="s">
        <v>361</v>
      </c>
      <c r="O101">
        <v>3</v>
      </c>
    </row>
    <row r="102" spans="1:15" x14ac:dyDescent="0.3">
      <c r="A102" t="s">
        <v>290</v>
      </c>
      <c r="B102" t="s">
        <v>291</v>
      </c>
      <c r="C102" t="s">
        <v>11</v>
      </c>
      <c r="D102" t="s">
        <v>104</v>
      </c>
      <c r="E102" s="1">
        <v>44866</v>
      </c>
      <c r="F102" t="s">
        <v>95</v>
      </c>
      <c r="G102">
        <v>43100</v>
      </c>
      <c r="H102">
        <v>33.799999999999997</v>
      </c>
      <c r="I102">
        <v>16</v>
      </c>
      <c r="J102">
        <v>3.6</v>
      </c>
      <c r="K102" t="s">
        <v>340</v>
      </c>
      <c r="L102" t="s">
        <v>345</v>
      </c>
      <c r="M102">
        <v>2022</v>
      </c>
      <c r="N102" t="s">
        <v>360</v>
      </c>
      <c r="O102">
        <v>4</v>
      </c>
    </row>
    <row r="103" spans="1:15" x14ac:dyDescent="0.3">
      <c r="A103" t="s">
        <v>292</v>
      </c>
      <c r="B103" t="s">
        <v>293</v>
      </c>
      <c r="C103" t="s">
        <v>11</v>
      </c>
      <c r="D103" t="s">
        <v>119</v>
      </c>
      <c r="E103" s="1">
        <v>44890</v>
      </c>
      <c r="F103" t="s">
        <v>77</v>
      </c>
      <c r="G103">
        <v>29700</v>
      </c>
      <c r="H103">
        <v>32.299999999999997</v>
      </c>
      <c r="I103">
        <v>15</v>
      </c>
      <c r="J103">
        <v>3.6</v>
      </c>
      <c r="K103" t="s">
        <v>340</v>
      </c>
      <c r="L103" t="s">
        <v>343</v>
      </c>
      <c r="M103">
        <v>2022</v>
      </c>
      <c r="N103" t="s">
        <v>360</v>
      </c>
      <c r="O103">
        <v>4</v>
      </c>
    </row>
    <row r="104" spans="1:15" x14ac:dyDescent="0.3">
      <c r="A104" t="s">
        <v>294</v>
      </c>
      <c r="B104" t="s">
        <v>295</v>
      </c>
      <c r="C104" t="s">
        <v>16</v>
      </c>
      <c r="D104" t="s">
        <v>119</v>
      </c>
      <c r="E104" s="1">
        <v>44907</v>
      </c>
      <c r="F104" t="s">
        <v>77</v>
      </c>
      <c r="G104">
        <v>36200</v>
      </c>
      <c r="H104">
        <v>39.5</v>
      </c>
      <c r="I104">
        <v>24</v>
      </c>
      <c r="J104">
        <v>3.5</v>
      </c>
      <c r="K104" t="s">
        <v>340</v>
      </c>
      <c r="L104" t="s">
        <v>343</v>
      </c>
      <c r="M104">
        <v>2022</v>
      </c>
      <c r="N104" t="s">
        <v>363</v>
      </c>
      <c r="O104">
        <v>4</v>
      </c>
    </row>
    <row r="105" spans="1:15" x14ac:dyDescent="0.3">
      <c r="A105" t="s">
        <v>296</v>
      </c>
      <c r="B105" t="s">
        <v>297</v>
      </c>
      <c r="C105" t="s">
        <v>11</v>
      </c>
      <c r="D105" t="s">
        <v>104</v>
      </c>
      <c r="E105" s="1">
        <v>44926</v>
      </c>
      <c r="F105" t="s">
        <v>77</v>
      </c>
      <c r="G105">
        <v>29000</v>
      </c>
      <c r="H105">
        <v>30.4</v>
      </c>
      <c r="I105">
        <v>30</v>
      </c>
      <c r="J105">
        <v>3.5</v>
      </c>
      <c r="K105" t="s">
        <v>340</v>
      </c>
      <c r="L105" t="s">
        <v>343</v>
      </c>
      <c r="M105">
        <v>2022</v>
      </c>
      <c r="N105" t="s">
        <v>363</v>
      </c>
      <c r="O105">
        <v>4</v>
      </c>
    </row>
    <row r="106" spans="1:15" x14ac:dyDescent="0.3">
      <c r="A106" t="s">
        <v>302</v>
      </c>
      <c r="B106" t="s">
        <v>145</v>
      </c>
      <c r="C106" t="s">
        <v>16</v>
      </c>
      <c r="D106" t="s">
        <v>104</v>
      </c>
      <c r="E106" s="1">
        <v>44938</v>
      </c>
      <c r="F106" t="s">
        <v>24</v>
      </c>
      <c r="G106">
        <v>36000</v>
      </c>
      <c r="H106">
        <v>31</v>
      </c>
      <c r="I106">
        <v>18</v>
      </c>
      <c r="J106">
        <v>3.4</v>
      </c>
      <c r="K106" t="s">
        <v>340</v>
      </c>
      <c r="L106" t="s">
        <v>343</v>
      </c>
      <c r="M106">
        <v>2023</v>
      </c>
      <c r="N106" t="s">
        <v>366</v>
      </c>
      <c r="O106">
        <v>1</v>
      </c>
    </row>
    <row r="107" spans="1:15" x14ac:dyDescent="0.3">
      <c r="A107" t="s">
        <v>305</v>
      </c>
      <c r="B107" t="s">
        <v>306</v>
      </c>
      <c r="C107" t="s">
        <v>16</v>
      </c>
      <c r="D107" t="s">
        <v>119</v>
      </c>
      <c r="E107" s="1">
        <v>44941</v>
      </c>
      <c r="F107" t="s">
        <v>80</v>
      </c>
      <c r="G107">
        <v>53900</v>
      </c>
      <c r="H107">
        <v>35.6</v>
      </c>
      <c r="I107">
        <v>15</v>
      </c>
      <c r="J107">
        <v>3.4</v>
      </c>
      <c r="K107" t="s">
        <v>340</v>
      </c>
      <c r="L107" t="s">
        <v>345</v>
      </c>
      <c r="M107">
        <v>2023</v>
      </c>
      <c r="N107" t="s">
        <v>366</v>
      </c>
      <c r="O107">
        <v>1</v>
      </c>
    </row>
    <row r="108" spans="1:15" x14ac:dyDescent="0.3">
      <c r="A108" t="s">
        <v>309</v>
      </c>
      <c r="B108" t="s">
        <v>265</v>
      </c>
      <c r="C108" t="s">
        <v>11</v>
      </c>
      <c r="D108" t="s">
        <v>119</v>
      </c>
      <c r="E108" s="1">
        <v>44965</v>
      </c>
      <c r="F108" t="s">
        <v>153</v>
      </c>
      <c r="G108">
        <v>45500</v>
      </c>
      <c r="H108">
        <v>36.1</v>
      </c>
      <c r="I108">
        <v>20</v>
      </c>
      <c r="J108">
        <v>3.3</v>
      </c>
      <c r="K108" t="s">
        <v>340</v>
      </c>
      <c r="L108" t="s">
        <v>345</v>
      </c>
      <c r="M108">
        <v>2023</v>
      </c>
      <c r="N108" t="s">
        <v>367</v>
      </c>
      <c r="O108">
        <v>1</v>
      </c>
    </row>
    <row r="109" spans="1:15" x14ac:dyDescent="0.3">
      <c r="A109" t="s">
        <v>312</v>
      </c>
      <c r="B109" t="s">
        <v>313</v>
      </c>
      <c r="C109" t="s">
        <v>11</v>
      </c>
      <c r="D109" t="s">
        <v>119</v>
      </c>
      <c r="E109" s="1">
        <v>44971</v>
      </c>
      <c r="F109" t="s">
        <v>24</v>
      </c>
      <c r="G109">
        <v>39300</v>
      </c>
      <c r="H109">
        <v>37.9</v>
      </c>
      <c r="I109">
        <v>16</v>
      </c>
      <c r="J109">
        <v>3.3</v>
      </c>
      <c r="K109" t="s">
        <v>340</v>
      </c>
      <c r="L109" t="s">
        <v>343</v>
      </c>
      <c r="M109">
        <v>2023</v>
      </c>
      <c r="N109" t="s">
        <v>367</v>
      </c>
      <c r="O109">
        <v>1</v>
      </c>
    </row>
    <row r="110" spans="1:15" x14ac:dyDescent="0.3">
      <c r="A110" t="s">
        <v>314</v>
      </c>
      <c r="B110" t="s">
        <v>315</v>
      </c>
      <c r="C110" t="s">
        <v>16</v>
      </c>
      <c r="D110" t="s">
        <v>119</v>
      </c>
      <c r="E110" s="1">
        <v>44983</v>
      </c>
      <c r="F110" t="s">
        <v>80</v>
      </c>
      <c r="G110">
        <v>51300</v>
      </c>
      <c r="H110">
        <v>36.299999999999997</v>
      </c>
      <c r="I110">
        <v>14</v>
      </c>
      <c r="J110">
        <v>3.3</v>
      </c>
      <c r="K110" t="s">
        <v>340</v>
      </c>
      <c r="L110" t="s">
        <v>345</v>
      </c>
      <c r="M110">
        <v>2023</v>
      </c>
      <c r="N110" t="s">
        <v>367</v>
      </c>
      <c r="O110">
        <v>1</v>
      </c>
    </row>
    <row r="111" spans="1:15" x14ac:dyDescent="0.3">
      <c r="A111" t="s">
        <v>316</v>
      </c>
      <c r="B111" t="s">
        <v>224</v>
      </c>
      <c r="C111" t="s">
        <v>16</v>
      </c>
      <c r="D111" t="s">
        <v>104</v>
      </c>
      <c r="E111" s="1">
        <v>44986</v>
      </c>
      <c r="F111" t="s">
        <v>153</v>
      </c>
      <c r="G111">
        <v>48100</v>
      </c>
      <c r="H111">
        <v>37.200000000000003</v>
      </c>
      <c r="I111">
        <v>16</v>
      </c>
      <c r="J111">
        <v>3.3</v>
      </c>
      <c r="K111" t="s">
        <v>340</v>
      </c>
      <c r="L111" t="s">
        <v>345</v>
      </c>
      <c r="M111">
        <v>2023</v>
      </c>
      <c r="N111" t="s">
        <v>364</v>
      </c>
      <c r="O111">
        <v>1</v>
      </c>
    </row>
    <row r="112" spans="1:15" x14ac:dyDescent="0.3">
      <c r="A112" t="s">
        <v>317</v>
      </c>
      <c r="B112" t="s">
        <v>318</v>
      </c>
      <c r="C112" t="s">
        <v>16</v>
      </c>
      <c r="D112" t="s">
        <v>45</v>
      </c>
      <c r="E112" s="1">
        <v>44999</v>
      </c>
      <c r="F112" t="s">
        <v>153</v>
      </c>
      <c r="G112">
        <v>49800</v>
      </c>
      <c r="H112">
        <v>37.700000000000003</v>
      </c>
      <c r="I112">
        <v>23</v>
      </c>
      <c r="J112">
        <v>3.3</v>
      </c>
      <c r="K112" t="s">
        <v>340</v>
      </c>
      <c r="L112" t="s">
        <v>345</v>
      </c>
      <c r="M112">
        <v>2023</v>
      </c>
      <c r="N112" t="s">
        <v>364</v>
      </c>
      <c r="O112">
        <v>1</v>
      </c>
    </row>
    <row r="113" spans="1:15" x14ac:dyDescent="0.3">
      <c r="A113" t="s">
        <v>323</v>
      </c>
      <c r="B113" t="s">
        <v>271</v>
      </c>
      <c r="C113" t="s">
        <v>16</v>
      </c>
      <c r="D113" t="s">
        <v>119</v>
      </c>
      <c r="E113" s="1">
        <v>45025</v>
      </c>
      <c r="F113" t="s">
        <v>80</v>
      </c>
      <c r="G113">
        <v>52900</v>
      </c>
      <c r="H113">
        <v>30.5</v>
      </c>
      <c r="I113">
        <v>8</v>
      </c>
      <c r="J113">
        <v>3.2</v>
      </c>
      <c r="K113" t="s">
        <v>340</v>
      </c>
      <c r="L113" t="s">
        <v>345</v>
      </c>
      <c r="M113">
        <v>2023</v>
      </c>
      <c r="N113" t="s">
        <v>357</v>
      </c>
      <c r="O113">
        <v>2</v>
      </c>
    </row>
    <row r="114" spans="1:15" x14ac:dyDescent="0.3">
      <c r="A114" t="s">
        <v>324</v>
      </c>
      <c r="B114" t="s">
        <v>325</v>
      </c>
      <c r="C114" t="s">
        <v>11</v>
      </c>
      <c r="D114" t="s">
        <v>119</v>
      </c>
      <c r="E114" s="1">
        <v>45043</v>
      </c>
      <c r="F114" t="s">
        <v>39</v>
      </c>
      <c r="G114">
        <v>76700</v>
      </c>
      <c r="H114">
        <v>31.4</v>
      </c>
      <c r="I114">
        <v>16</v>
      </c>
      <c r="J114">
        <v>3.1</v>
      </c>
      <c r="K114" t="s">
        <v>340</v>
      </c>
      <c r="L114" t="s">
        <v>342</v>
      </c>
      <c r="M114">
        <v>2023</v>
      </c>
      <c r="N114" t="s">
        <v>357</v>
      </c>
      <c r="O114">
        <v>2</v>
      </c>
    </row>
    <row r="115" spans="1:15" x14ac:dyDescent="0.3">
      <c r="A115" t="s">
        <v>328</v>
      </c>
      <c r="B115" t="s">
        <v>329</v>
      </c>
      <c r="C115" t="s">
        <v>16</v>
      </c>
      <c r="D115" t="s">
        <v>119</v>
      </c>
      <c r="E115" s="1">
        <v>45057</v>
      </c>
      <c r="F115" t="s">
        <v>56</v>
      </c>
      <c r="G115">
        <v>58000</v>
      </c>
      <c r="H115">
        <v>33</v>
      </c>
      <c r="I115">
        <v>13</v>
      </c>
      <c r="J115">
        <v>3.1</v>
      </c>
      <c r="K115" t="s">
        <v>340</v>
      </c>
      <c r="L115" t="s">
        <v>345</v>
      </c>
      <c r="M115">
        <v>2023</v>
      </c>
      <c r="N115" t="s">
        <v>344</v>
      </c>
      <c r="O115">
        <v>2</v>
      </c>
    </row>
    <row r="116" spans="1:15" x14ac:dyDescent="0.3">
      <c r="A116" t="s">
        <v>332</v>
      </c>
      <c r="B116" t="s">
        <v>333</v>
      </c>
      <c r="C116" t="s">
        <v>16</v>
      </c>
      <c r="D116" t="s">
        <v>104</v>
      </c>
      <c r="E116" s="1">
        <v>45099</v>
      </c>
      <c r="F116" t="s">
        <v>95</v>
      </c>
      <c r="G116">
        <v>43000</v>
      </c>
      <c r="H116">
        <v>33.6</v>
      </c>
      <c r="I116">
        <v>4</v>
      </c>
      <c r="J116">
        <v>3</v>
      </c>
      <c r="K116" t="s">
        <v>340</v>
      </c>
      <c r="L116" t="s">
        <v>345</v>
      </c>
      <c r="M116">
        <v>2023</v>
      </c>
      <c r="N116" t="s">
        <v>358</v>
      </c>
      <c r="O116">
        <v>2</v>
      </c>
    </row>
    <row r="117" spans="1:15" x14ac:dyDescent="0.3">
      <c r="A117" t="s">
        <v>17</v>
      </c>
      <c r="B117" t="s">
        <v>18</v>
      </c>
      <c r="C117" t="s">
        <v>11</v>
      </c>
      <c r="D117" t="s">
        <v>12</v>
      </c>
      <c r="E117" s="1">
        <v>42866</v>
      </c>
      <c r="F117" t="s">
        <v>13</v>
      </c>
      <c r="G117">
        <v>85000</v>
      </c>
      <c r="H117">
        <v>65.099999999999994</v>
      </c>
      <c r="I117">
        <v>5</v>
      </c>
      <c r="J117">
        <v>9.1</v>
      </c>
      <c r="K117" t="s">
        <v>346</v>
      </c>
      <c r="L117" t="s">
        <v>341</v>
      </c>
      <c r="M117">
        <v>2017</v>
      </c>
      <c r="N117" t="s">
        <v>344</v>
      </c>
      <c r="O117">
        <v>2</v>
      </c>
    </row>
    <row r="118" spans="1:15" x14ac:dyDescent="0.3">
      <c r="A118" t="s">
        <v>27</v>
      </c>
      <c r="B118" t="s">
        <v>28</v>
      </c>
      <c r="C118" t="s">
        <v>11</v>
      </c>
      <c r="D118" t="s">
        <v>12</v>
      </c>
      <c r="E118" s="1">
        <v>42939</v>
      </c>
      <c r="F118" t="s">
        <v>24</v>
      </c>
      <c r="G118">
        <v>35500</v>
      </c>
      <c r="H118">
        <v>29.6</v>
      </c>
      <c r="I118">
        <v>24</v>
      </c>
      <c r="J118">
        <v>8.9</v>
      </c>
      <c r="K118" t="s">
        <v>347</v>
      </c>
      <c r="L118" t="s">
        <v>343</v>
      </c>
      <c r="M118">
        <v>2017</v>
      </c>
      <c r="N118" t="s">
        <v>359</v>
      </c>
      <c r="O118">
        <v>3</v>
      </c>
    </row>
    <row r="119" spans="1:15" x14ac:dyDescent="0.3">
      <c r="A119" t="s">
        <v>29</v>
      </c>
      <c r="B119" t="s">
        <v>30</v>
      </c>
      <c r="C119" t="s">
        <v>11</v>
      </c>
      <c r="D119" t="s">
        <v>12</v>
      </c>
      <c r="E119" s="1">
        <v>42950</v>
      </c>
      <c r="F119" t="s">
        <v>13</v>
      </c>
      <c r="G119">
        <v>80700</v>
      </c>
      <c r="H119">
        <v>26.1</v>
      </c>
      <c r="I119">
        <v>13</v>
      </c>
      <c r="J119">
        <v>8.9</v>
      </c>
      <c r="K119" t="s">
        <v>347</v>
      </c>
      <c r="L119" t="s">
        <v>341</v>
      </c>
      <c r="M119">
        <v>2017</v>
      </c>
      <c r="N119" t="s">
        <v>365</v>
      </c>
      <c r="O119">
        <v>3</v>
      </c>
    </row>
    <row r="120" spans="1:15" x14ac:dyDescent="0.3">
      <c r="A120" t="s">
        <v>31</v>
      </c>
      <c r="B120" t="s">
        <v>32</v>
      </c>
      <c r="C120" t="s">
        <v>11</v>
      </c>
      <c r="D120" t="s">
        <v>12</v>
      </c>
      <c r="E120" s="1">
        <v>43039</v>
      </c>
      <c r="F120" t="s">
        <v>13</v>
      </c>
      <c r="G120">
        <v>82800</v>
      </c>
      <c r="H120">
        <v>51.8</v>
      </c>
      <c r="I120">
        <v>20</v>
      </c>
      <c r="J120">
        <v>8.6</v>
      </c>
      <c r="K120" t="s">
        <v>346</v>
      </c>
      <c r="L120" t="s">
        <v>341</v>
      </c>
      <c r="M120">
        <v>2017</v>
      </c>
      <c r="N120" t="s">
        <v>362</v>
      </c>
      <c r="O120">
        <v>4</v>
      </c>
    </row>
    <row r="121" spans="1:15" x14ac:dyDescent="0.3">
      <c r="A121" t="s">
        <v>48</v>
      </c>
      <c r="B121" t="s">
        <v>49</v>
      </c>
      <c r="C121" t="s">
        <v>16</v>
      </c>
      <c r="D121" t="s">
        <v>12</v>
      </c>
      <c r="E121" s="1">
        <v>43326</v>
      </c>
      <c r="F121" t="s">
        <v>21</v>
      </c>
      <c r="G121">
        <v>73500</v>
      </c>
      <c r="H121">
        <v>62.6</v>
      </c>
      <c r="I121">
        <v>23</v>
      </c>
      <c r="J121">
        <v>7.8</v>
      </c>
      <c r="K121" t="s">
        <v>346</v>
      </c>
      <c r="L121" t="s">
        <v>342</v>
      </c>
      <c r="M121">
        <v>2018</v>
      </c>
      <c r="N121" t="s">
        <v>365</v>
      </c>
      <c r="O121">
        <v>3</v>
      </c>
    </row>
    <row r="122" spans="1:15" x14ac:dyDescent="0.3">
      <c r="A122" t="s">
        <v>57</v>
      </c>
      <c r="B122" t="s">
        <v>58</v>
      </c>
      <c r="C122" t="s">
        <v>16</v>
      </c>
      <c r="D122" t="s">
        <v>12</v>
      </c>
      <c r="E122" s="1">
        <v>43355</v>
      </c>
      <c r="F122" t="s">
        <v>21</v>
      </c>
      <c r="G122">
        <v>74700</v>
      </c>
      <c r="H122">
        <v>52.4</v>
      </c>
      <c r="I122">
        <v>10</v>
      </c>
      <c r="J122">
        <v>7.8</v>
      </c>
      <c r="K122" t="s">
        <v>346</v>
      </c>
      <c r="L122" t="s">
        <v>342</v>
      </c>
      <c r="M122">
        <v>2018</v>
      </c>
      <c r="N122" t="s">
        <v>361</v>
      </c>
      <c r="O122">
        <v>3</v>
      </c>
    </row>
    <row r="123" spans="1:15" x14ac:dyDescent="0.3">
      <c r="A123" t="s">
        <v>81</v>
      </c>
      <c r="B123" t="s">
        <v>82</v>
      </c>
      <c r="C123" t="s">
        <v>11</v>
      </c>
      <c r="D123" t="s">
        <v>45</v>
      </c>
      <c r="E123" s="1">
        <v>43434</v>
      </c>
      <c r="F123" t="s">
        <v>77</v>
      </c>
      <c r="G123">
        <v>36100</v>
      </c>
      <c r="H123">
        <v>27.2</v>
      </c>
      <c r="I123">
        <v>8</v>
      </c>
      <c r="J123">
        <v>7.5</v>
      </c>
      <c r="K123" t="s">
        <v>347</v>
      </c>
      <c r="L123" t="s">
        <v>343</v>
      </c>
      <c r="M123">
        <v>2018</v>
      </c>
      <c r="N123" t="s">
        <v>360</v>
      </c>
      <c r="O123">
        <v>4</v>
      </c>
    </row>
    <row r="124" spans="1:15" x14ac:dyDescent="0.3">
      <c r="A124" t="s">
        <v>89</v>
      </c>
      <c r="B124" t="s">
        <v>90</v>
      </c>
      <c r="C124" t="s">
        <v>11</v>
      </c>
      <c r="D124" t="s">
        <v>12</v>
      </c>
      <c r="E124" s="1">
        <v>43538</v>
      </c>
      <c r="F124" t="s">
        <v>56</v>
      </c>
      <c r="G124">
        <v>57100</v>
      </c>
      <c r="H124">
        <v>28.7</v>
      </c>
      <c r="I124">
        <v>13</v>
      </c>
      <c r="J124">
        <v>7.3</v>
      </c>
      <c r="K124" t="s">
        <v>347</v>
      </c>
      <c r="L124" t="s">
        <v>345</v>
      </c>
      <c r="M124">
        <v>2019</v>
      </c>
      <c r="N124" t="s">
        <v>364</v>
      </c>
      <c r="O124">
        <v>1</v>
      </c>
    </row>
    <row r="125" spans="1:15" x14ac:dyDescent="0.3">
      <c r="A125" t="s">
        <v>93</v>
      </c>
      <c r="B125" t="s">
        <v>94</v>
      </c>
      <c r="C125" t="s">
        <v>11</v>
      </c>
      <c r="D125" t="s">
        <v>45</v>
      </c>
      <c r="E125" s="1">
        <v>43552</v>
      </c>
      <c r="F125" t="s">
        <v>95</v>
      </c>
      <c r="G125">
        <v>43000</v>
      </c>
      <c r="H125">
        <v>28.2</v>
      </c>
      <c r="I125">
        <v>17</v>
      </c>
      <c r="J125">
        <v>7.2</v>
      </c>
      <c r="K125" t="s">
        <v>347</v>
      </c>
      <c r="L125" t="s">
        <v>345</v>
      </c>
      <c r="M125">
        <v>2019</v>
      </c>
      <c r="N125" t="s">
        <v>364</v>
      </c>
      <c r="O125">
        <v>1</v>
      </c>
    </row>
    <row r="126" spans="1:15" x14ac:dyDescent="0.3">
      <c r="A126" t="s">
        <v>98</v>
      </c>
      <c r="B126" t="s">
        <v>99</v>
      </c>
      <c r="C126" t="s">
        <v>16</v>
      </c>
      <c r="D126" t="s">
        <v>45</v>
      </c>
      <c r="E126" s="1">
        <v>43571</v>
      </c>
      <c r="F126" t="s">
        <v>56</v>
      </c>
      <c r="G126">
        <v>60000</v>
      </c>
      <c r="H126">
        <v>28.8</v>
      </c>
      <c r="I126">
        <v>18</v>
      </c>
      <c r="J126">
        <v>7.2</v>
      </c>
      <c r="K126" t="s">
        <v>347</v>
      </c>
      <c r="L126" t="s">
        <v>342</v>
      </c>
      <c r="M126">
        <v>2019</v>
      </c>
      <c r="N126" t="s">
        <v>357</v>
      </c>
      <c r="O126">
        <v>2</v>
      </c>
    </row>
    <row r="127" spans="1:15" x14ac:dyDescent="0.3">
      <c r="A127" t="s">
        <v>117</v>
      </c>
      <c r="B127" t="s">
        <v>118</v>
      </c>
      <c r="C127" t="s">
        <v>16</v>
      </c>
      <c r="D127" t="s">
        <v>119</v>
      </c>
      <c r="E127" s="1">
        <v>43683</v>
      </c>
      <c r="F127" t="s">
        <v>39</v>
      </c>
      <c r="G127">
        <v>78200</v>
      </c>
      <c r="H127">
        <v>27.6</v>
      </c>
      <c r="I127">
        <v>21</v>
      </c>
      <c r="J127">
        <v>6.9</v>
      </c>
      <c r="K127" t="s">
        <v>347</v>
      </c>
      <c r="L127" t="s">
        <v>342</v>
      </c>
      <c r="M127">
        <v>2019</v>
      </c>
      <c r="N127" t="s">
        <v>365</v>
      </c>
      <c r="O127">
        <v>3</v>
      </c>
    </row>
    <row r="128" spans="1:15" x14ac:dyDescent="0.3">
      <c r="A128" t="s">
        <v>128</v>
      </c>
      <c r="B128" t="s">
        <v>129</v>
      </c>
      <c r="C128" t="s">
        <v>16</v>
      </c>
      <c r="D128" t="s">
        <v>45</v>
      </c>
      <c r="E128" s="1">
        <v>43719</v>
      </c>
      <c r="F128" t="s">
        <v>39</v>
      </c>
      <c r="G128">
        <v>76100</v>
      </c>
      <c r="H128">
        <v>28</v>
      </c>
      <c r="I128">
        <v>16</v>
      </c>
      <c r="J128">
        <v>6.8</v>
      </c>
      <c r="K128" t="s">
        <v>347</v>
      </c>
      <c r="L128" t="s">
        <v>342</v>
      </c>
      <c r="M128">
        <v>2019</v>
      </c>
      <c r="N128" t="s">
        <v>361</v>
      </c>
      <c r="O128">
        <v>3</v>
      </c>
    </row>
    <row r="129" spans="1:15" x14ac:dyDescent="0.3">
      <c r="A129" t="s">
        <v>138</v>
      </c>
      <c r="B129" t="s">
        <v>139</v>
      </c>
      <c r="C129" t="s">
        <v>11</v>
      </c>
      <c r="D129" t="s">
        <v>45</v>
      </c>
      <c r="E129" s="1">
        <v>43786</v>
      </c>
      <c r="F129" t="s">
        <v>77</v>
      </c>
      <c r="G129">
        <v>32600</v>
      </c>
      <c r="H129">
        <v>28.6</v>
      </c>
      <c r="I129">
        <v>37</v>
      </c>
      <c r="J129">
        <v>6.6</v>
      </c>
      <c r="K129" t="s">
        <v>347</v>
      </c>
      <c r="L129" t="s">
        <v>343</v>
      </c>
      <c r="M129">
        <v>2019</v>
      </c>
      <c r="N129" t="s">
        <v>360</v>
      </c>
      <c r="O129">
        <v>4</v>
      </c>
    </row>
    <row r="130" spans="1:15" x14ac:dyDescent="0.3">
      <c r="A130" t="s">
        <v>140</v>
      </c>
      <c r="B130" t="s">
        <v>141</v>
      </c>
      <c r="C130" t="s">
        <v>16</v>
      </c>
      <c r="D130" t="s">
        <v>45</v>
      </c>
      <c r="E130" s="1">
        <v>43789</v>
      </c>
      <c r="F130" t="s">
        <v>42</v>
      </c>
      <c r="G130">
        <v>60700</v>
      </c>
      <c r="H130">
        <v>29.6</v>
      </c>
      <c r="I130">
        <v>21</v>
      </c>
      <c r="J130">
        <v>6.6</v>
      </c>
      <c r="K130" t="s">
        <v>347</v>
      </c>
      <c r="L130" t="s">
        <v>342</v>
      </c>
      <c r="M130">
        <v>2019</v>
      </c>
      <c r="N130" t="s">
        <v>360</v>
      </c>
      <c r="O130">
        <v>4</v>
      </c>
    </row>
    <row r="131" spans="1:15" x14ac:dyDescent="0.3">
      <c r="A131" t="s">
        <v>142</v>
      </c>
      <c r="B131" t="s">
        <v>143</v>
      </c>
      <c r="C131" t="s">
        <v>16</v>
      </c>
      <c r="D131" t="s">
        <v>119</v>
      </c>
      <c r="E131" s="1">
        <v>43797</v>
      </c>
      <c r="F131" t="s">
        <v>77</v>
      </c>
      <c r="G131">
        <v>33800</v>
      </c>
      <c r="H131">
        <v>66.7</v>
      </c>
      <c r="I131">
        <v>8</v>
      </c>
      <c r="J131">
        <v>6.5</v>
      </c>
      <c r="K131" t="s">
        <v>346</v>
      </c>
      <c r="L131" t="s">
        <v>343</v>
      </c>
      <c r="M131">
        <v>2019</v>
      </c>
      <c r="N131" t="s">
        <v>360</v>
      </c>
      <c r="O131">
        <v>4</v>
      </c>
    </row>
    <row r="132" spans="1:15" x14ac:dyDescent="0.3">
      <c r="A132" t="s">
        <v>144</v>
      </c>
      <c r="B132" t="s">
        <v>145</v>
      </c>
      <c r="C132" t="s">
        <v>16</v>
      </c>
      <c r="D132" t="s">
        <v>104</v>
      </c>
      <c r="E132" s="1">
        <v>43809</v>
      </c>
      <c r="F132" t="s">
        <v>24</v>
      </c>
      <c r="G132">
        <v>37400</v>
      </c>
      <c r="H132">
        <v>46.2</v>
      </c>
      <c r="I132">
        <v>20</v>
      </c>
      <c r="J132">
        <v>6.5</v>
      </c>
      <c r="K132" t="s">
        <v>348</v>
      </c>
      <c r="L132" t="s">
        <v>343</v>
      </c>
      <c r="M132">
        <v>2019</v>
      </c>
      <c r="N132" t="s">
        <v>363</v>
      </c>
      <c r="O132">
        <v>4</v>
      </c>
    </row>
    <row r="133" spans="1:15" x14ac:dyDescent="0.3">
      <c r="A133" t="s">
        <v>147</v>
      </c>
      <c r="B133" t="s">
        <v>148</v>
      </c>
      <c r="C133" t="s">
        <v>11</v>
      </c>
      <c r="D133" t="s">
        <v>104</v>
      </c>
      <c r="E133" s="1">
        <v>43843</v>
      </c>
      <c r="F133" t="s">
        <v>77</v>
      </c>
      <c r="G133">
        <v>31100</v>
      </c>
      <c r="H133">
        <v>27</v>
      </c>
      <c r="I133">
        <v>20</v>
      </c>
      <c r="J133">
        <v>6.4</v>
      </c>
      <c r="K133" t="s">
        <v>347</v>
      </c>
      <c r="L133" t="s">
        <v>343</v>
      </c>
      <c r="M133">
        <v>2020</v>
      </c>
      <c r="N133" t="s">
        <v>366</v>
      </c>
      <c r="O133">
        <v>1</v>
      </c>
    </row>
    <row r="134" spans="1:15" x14ac:dyDescent="0.3">
      <c r="A134" t="s">
        <v>154</v>
      </c>
      <c r="B134" t="s">
        <v>155</v>
      </c>
      <c r="C134" t="s">
        <v>16</v>
      </c>
      <c r="D134" t="s">
        <v>119</v>
      </c>
      <c r="E134" s="1">
        <v>43864</v>
      </c>
      <c r="F134" t="s">
        <v>56</v>
      </c>
      <c r="G134">
        <v>59500</v>
      </c>
      <c r="H134">
        <v>61.1</v>
      </c>
      <c r="I134">
        <v>18</v>
      </c>
      <c r="J134">
        <v>6.4</v>
      </c>
      <c r="K134" t="s">
        <v>346</v>
      </c>
      <c r="L134" t="s">
        <v>345</v>
      </c>
      <c r="M134">
        <v>2020</v>
      </c>
      <c r="N134" t="s">
        <v>367</v>
      </c>
      <c r="O134">
        <v>1</v>
      </c>
    </row>
    <row r="135" spans="1:15" x14ac:dyDescent="0.3">
      <c r="A135" t="s">
        <v>164</v>
      </c>
      <c r="B135" t="s">
        <v>165</v>
      </c>
      <c r="C135" t="s">
        <v>16</v>
      </c>
      <c r="D135" t="s">
        <v>104</v>
      </c>
      <c r="E135" s="1">
        <v>43930</v>
      </c>
      <c r="F135" t="s">
        <v>24</v>
      </c>
      <c r="G135">
        <v>39700</v>
      </c>
      <c r="H135">
        <v>30</v>
      </c>
      <c r="I135">
        <v>18</v>
      </c>
      <c r="J135">
        <v>6.2</v>
      </c>
      <c r="K135" t="s">
        <v>347</v>
      </c>
      <c r="L135" t="s">
        <v>343</v>
      </c>
      <c r="M135">
        <v>2020</v>
      </c>
      <c r="N135" t="s">
        <v>357</v>
      </c>
      <c r="O135">
        <v>2</v>
      </c>
    </row>
    <row r="136" spans="1:15" x14ac:dyDescent="0.3">
      <c r="A136" t="s">
        <v>166</v>
      </c>
      <c r="B136" t="s">
        <v>167</v>
      </c>
      <c r="C136" t="s">
        <v>16</v>
      </c>
      <c r="D136" t="s">
        <v>104</v>
      </c>
      <c r="E136" s="1">
        <v>43961</v>
      </c>
      <c r="F136" t="s">
        <v>153</v>
      </c>
      <c r="G136">
        <v>49800</v>
      </c>
      <c r="H136">
        <v>50.3</v>
      </c>
      <c r="I136">
        <v>15</v>
      </c>
      <c r="J136">
        <v>6.1</v>
      </c>
      <c r="K136" t="s">
        <v>346</v>
      </c>
      <c r="L136" t="s">
        <v>345</v>
      </c>
      <c r="M136">
        <v>2020</v>
      </c>
      <c r="N136" t="s">
        <v>344</v>
      </c>
      <c r="O136">
        <v>2</v>
      </c>
    </row>
    <row r="137" spans="1:15" x14ac:dyDescent="0.3">
      <c r="A137" t="s">
        <v>168</v>
      </c>
      <c r="B137" t="s">
        <v>60</v>
      </c>
      <c r="C137" t="s">
        <v>16</v>
      </c>
      <c r="D137" t="s">
        <v>12</v>
      </c>
      <c r="E137" s="1">
        <v>43964</v>
      </c>
      <c r="F137" t="s">
        <v>42</v>
      </c>
      <c r="G137">
        <v>61200</v>
      </c>
      <c r="H137">
        <v>44.1</v>
      </c>
      <c r="I137">
        <v>14</v>
      </c>
      <c r="J137">
        <v>6.1</v>
      </c>
      <c r="K137" t="s">
        <v>348</v>
      </c>
      <c r="L137" t="s">
        <v>342</v>
      </c>
      <c r="M137">
        <v>2020</v>
      </c>
      <c r="N137" t="s">
        <v>344</v>
      </c>
      <c r="O137">
        <v>2</v>
      </c>
    </row>
    <row r="138" spans="1:15" x14ac:dyDescent="0.3">
      <c r="A138" t="s">
        <v>171</v>
      </c>
      <c r="B138" t="s">
        <v>172</v>
      </c>
      <c r="C138" t="s">
        <v>11</v>
      </c>
      <c r="D138" t="s">
        <v>45</v>
      </c>
      <c r="E138" s="1">
        <v>43994</v>
      </c>
      <c r="F138" t="s">
        <v>80</v>
      </c>
      <c r="G138">
        <v>51300</v>
      </c>
      <c r="H138">
        <v>26</v>
      </c>
      <c r="I138">
        <v>13</v>
      </c>
      <c r="J138">
        <v>6</v>
      </c>
      <c r="K138" t="s">
        <v>347</v>
      </c>
      <c r="L138" t="s">
        <v>345</v>
      </c>
      <c r="M138">
        <v>2020</v>
      </c>
      <c r="N138" t="s">
        <v>358</v>
      </c>
      <c r="O138">
        <v>2</v>
      </c>
    </row>
    <row r="139" spans="1:15" x14ac:dyDescent="0.3">
      <c r="A139" t="s">
        <v>193</v>
      </c>
      <c r="B139" t="s">
        <v>194</v>
      </c>
      <c r="C139" t="s">
        <v>16</v>
      </c>
      <c r="D139" t="s">
        <v>45</v>
      </c>
      <c r="E139" s="1">
        <v>44082</v>
      </c>
      <c r="F139" t="s">
        <v>153</v>
      </c>
      <c r="G139">
        <v>46000</v>
      </c>
      <c r="H139">
        <v>53.5</v>
      </c>
      <c r="I139">
        <v>15</v>
      </c>
      <c r="J139">
        <v>5.8</v>
      </c>
      <c r="K139" t="s">
        <v>346</v>
      </c>
      <c r="L139" t="s">
        <v>345</v>
      </c>
      <c r="M139">
        <v>2020</v>
      </c>
      <c r="N139" t="s">
        <v>361</v>
      </c>
      <c r="O139">
        <v>3</v>
      </c>
    </row>
    <row r="140" spans="1:15" x14ac:dyDescent="0.3">
      <c r="A140" t="s">
        <v>195</v>
      </c>
      <c r="B140" t="s">
        <v>196</v>
      </c>
      <c r="C140" t="s">
        <v>11</v>
      </c>
      <c r="D140" t="s">
        <v>45</v>
      </c>
      <c r="E140" s="1">
        <v>44089</v>
      </c>
      <c r="F140" t="s">
        <v>95</v>
      </c>
      <c r="G140">
        <v>42400</v>
      </c>
      <c r="H140">
        <v>66.2</v>
      </c>
      <c r="I140">
        <v>19</v>
      </c>
      <c r="J140">
        <v>5.7</v>
      </c>
      <c r="K140" t="s">
        <v>346</v>
      </c>
      <c r="L140" t="s">
        <v>345</v>
      </c>
      <c r="M140">
        <v>2020</v>
      </c>
      <c r="N140" t="s">
        <v>361</v>
      </c>
      <c r="O140">
        <v>3</v>
      </c>
    </row>
    <row r="141" spans="1:15" x14ac:dyDescent="0.3">
      <c r="A141" t="s">
        <v>197</v>
      </c>
      <c r="B141" t="s">
        <v>198</v>
      </c>
      <c r="C141" t="s">
        <v>16</v>
      </c>
      <c r="D141" t="s">
        <v>119</v>
      </c>
      <c r="E141" s="1">
        <v>44091</v>
      </c>
      <c r="F141" t="s">
        <v>77</v>
      </c>
      <c r="G141">
        <v>36000</v>
      </c>
      <c r="H141">
        <v>26</v>
      </c>
      <c r="I141">
        <v>15</v>
      </c>
      <c r="J141">
        <v>5.7</v>
      </c>
      <c r="K141" t="s">
        <v>347</v>
      </c>
      <c r="L141" t="s">
        <v>343</v>
      </c>
      <c r="M141">
        <v>2020</v>
      </c>
      <c r="N141" t="s">
        <v>361</v>
      </c>
      <c r="O141">
        <v>3</v>
      </c>
    </row>
    <row r="142" spans="1:15" x14ac:dyDescent="0.3">
      <c r="A142" t="s">
        <v>202</v>
      </c>
      <c r="B142" t="s">
        <v>125</v>
      </c>
      <c r="C142" t="s">
        <v>16</v>
      </c>
      <c r="D142" t="s">
        <v>45</v>
      </c>
      <c r="E142" s="1">
        <v>44182</v>
      </c>
      <c r="F142" t="s">
        <v>39</v>
      </c>
      <c r="G142">
        <v>77800</v>
      </c>
      <c r="H142">
        <v>28.9</v>
      </c>
      <c r="I142">
        <v>6</v>
      </c>
      <c r="J142">
        <v>5.5</v>
      </c>
      <c r="K142" t="s">
        <v>347</v>
      </c>
      <c r="L142" t="s">
        <v>342</v>
      </c>
      <c r="M142">
        <v>2020</v>
      </c>
      <c r="N142" t="s">
        <v>363</v>
      </c>
      <c r="O142">
        <v>4</v>
      </c>
    </row>
    <row r="143" spans="1:15" x14ac:dyDescent="0.3">
      <c r="A143" t="s">
        <v>205</v>
      </c>
      <c r="B143" t="s">
        <v>206</v>
      </c>
      <c r="C143" t="s">
        <v>11</v>
      </c>
      <c r="D143" t="s">
        <v>45</v>
      </c>
      <c r="E143" s="1">
        <v>44230</v>
      </c>
      <c r="F143" t="s">
        <v>95</v>
      </c>
      <c r="G143">
        <v>43000</v>
      </c>
      <c r="H143">
        <v>60.8</v>
      </c>
      <c r="I143">
        <v>24</v>
      </c>
      <c r="J143">
        <v>5.4</v>
      </c>
      <c r="K143" t="s">
        <v>346</v>
      </c>
      <c r="L143" t="s">
        <v>345</v>
      </c>
      <c r="M143">
        <v>2021</v>
      </c>
      <c r="N143" t="s">
        <v>367</v>
      </c>
      <c r="O143">
        <v>1</v>
      </c>
    </row>
    <row r="144" spans="1:15" x14ac:dyDescent="0.3">
      <c r="A144" t="s">
        <v>225</v>
      </c>
      <c r="B144" t="s">
        <v>226</v>
      </c>
      <c r="C144" t="s">
        <v>16</v>
      </c>
      <c r="D144" t="s">
        <v>104</v>
      </c>
      <c r="E144" s="1">
        <v>44376</v>
      </c>
      <c r="F144" t="s">
        <v>153</v>
      </c>
      <c r="G144">
        <v>47800</v>
      </c>
      <c r="H144">
        <v>27.7</v>
      </c>
      <c r="I144">
        <v>19</v>
      </c>
      <c r="J144">
        <v>5</v>
      </c>
      <c r="K144" t="s">
        <v>347</v>
      </c>
      <c r="L144" t="s">
        <v>345</v>
      </c>
      <c r="M144">
        <v>2021</v>
      </c>
      <c r="N144" t="s">
        <v>358</v>
      </c>
      <c r="O144">
        <v>2</v>
      </c>
    </row>
    <row r="145" spans="1:15" x14ac:dyDescent="0.3">
      <c r="A145" t="s">
        <v>240</v>
      </c>
      <c r="B145" t="s">
        <v>241</v>
      </c>
      <c r="C145" t="s">
        <v>11</v>
      </c>
      <c r="D145" t="s">
        <v>45</v>
      </c>
      <c r="E145" s="1">
        <v>44499</v>
      </c>
      <c r="F145" t="s">
        <v>80</v>
      </c>
      <c r="G145">
        <v>52700</v>
      </c>
      <c r="H145">
        <v>28.5</v>
      </c>
      <c r="I145">
        <v>25</v>
      </c>
      <c r="J145">
        <v>4.5999999999999996</v>
      </c>
      <c r="K145" t="s">
        <v>347</v>
      </c>
      <c r="L145" t="s">
        <v>345</v>
      </c>
      <c r="M145">
        <v>2021</v>
      </c>
      <c r="N145" t="s">
        <v>362</v>
      </c>
      <c r="O145">
        <v>4</v>
      </c>
    </row>
    <row r="146" spans="1:15" x14ac:dyDescent="0.3">
      <c r="A146" t="s">
        <v>242</v>
      </c>
      <c r="B146" t="s">
        <v>226</v>
      </c>
      <c r="C146" t="s">
        <v>11</v>
      </c>
      <c r="D146" t="s">
        <v>45</v>
      </c>
      <c r="E146" s="1">
        <v>44500</v>
      </c>
      <c r="F146" t="s">
        <v>80</v>
      </c>
      <c r="G146">
        <v>52500</v>
      </c>
      <c r="H146">
        <v>55.9</v>
      </c>
      <c r="I146">
        <v>16</v>
      </c>
      <c r="J146">
        <v>4.5999999999999996</v>
      </c>
      <c r="K146" t="s">
        <v>346</v>
      </c>
      <c r="L146" t="s">
        <v>345</v>
      </c>
      <c r="M146">
        <v>2021</v>
      </c>
      <c r="N146" t="s">
        <v>362</v>
      </c>
      <c r="O146">
        <v>4</v>
      </c>
    </row>
    <row r="147" spans="1:15" x14ac:dyDescent="0.3">
      <c r="A147" t="s">
        <v>250</v>
      </c>
      <c r="B147" t="s">
        <v>251</v>
      </c>
      <c r="C147" t="s">
        <v>11</v>
      </c>
      <c r="D147" t="s">
        <v>45</v>
      </c>
      <c r="E147" s="1">
        <v>44552</v>
      </c>
      <c r="F147" t="s">
        <v>80</v>
      </c>
      <c r="G147">
        <v>51200</v>
      </c>
      <c r="H147">
        <v>42.6</v>
      </c>
      <c r="I147">
        <v>22</v>
      </c>
      <c r="J147">
        <v>4.5</v>
      </c>
      <c r="K147" t="s">
        <v>348</v>
      </c>
      <c r="L147" t="s">
        <v>345</v>
      </c>
      <c r="M147">
        <v>2021</v>
      </c>
      <c r="N147" t="s">
        <v>363</v>
      </c>
      <c r="O147">
        <v>4</v>
      </c>
    </row>
    <row r="148" spans="1:15" x14ac:dyDescent="0.3">
      <c r="A148" t="s">
        <v>258</v>
      </c>
      <c r="B148" t="s">
        <v>259</v>
      </c>
      <c r="C148" t="s">
        <v>16</v>
      </c>
      <c r="D148" t="s">
        <v>45</v>
      </c>
      <c r="E148" s="1">
        <v>44607</v>
      </c>
      <c r="F148" t="s">
        <v>39</v>
      </c>
      <c r="G148">
        <v>76300</v>
      </c>
      <c r="H148">
        <v>65.400000000000006</v>
      </c>
      <c r="I148">
        <v>16</v>
      </c>
      <c r="J148">
        <v>4.3</v>
      </c>
      <c r="K148" t="s">
        <v>346</v>
      </c>
      <c r="L148" t="s">
        <v>342</v>
      </c>
      <c r="M148">
        <v>2022</v>
      </c>
      <c r="N148" t="s">
        <v>367</v>
      </c>
      <c r="O148">
        <v>1</v>
      </c>
    </row>
    <row r="149" spans="1:15" x14ac:dyDescent="0.3">
      <c r="A149" t="s">
        <v>260</v>
      </c>
      <c r="B149" t="s">
        <v>261</v>
      </c>
      <c r="C149" t="s">
        <v>11</v>
      </c>
      <c r="D149" t="s">
        <v>119</v>
      </c>
      <c r="E149" s="1">
        <v>44624</v>
      </c>
      <c r="F149" t="s">
        <v>153</v>
      </c>
      <c r="G149">
        <v>45500</v>
      </c>
      <c r="H149">
        <v>29.3</v>
      </c>
      <c r="I149">
        <v>14</v>
      </c>
      <c r="J149">
        <v>4.3</v>
      </c>
      <c r="K149" t="s">
        <v>347</v>
      </c>
      <c r="L149" t="s">
        <v>345</v>
      </c>
      <c r="M149">
        <v>2022</v>
      </c>
      <c r="N149" t="s">
        <v>364</v>
      </c>
      <c r="O149">
        <v>1</v>
      </c>
    </row>
    <row r="150" spans="1:15" x14ac:dyDescent="0.3">
      <c r="A150" t="s">
        <v>262</v>
      </c>
      <c r="B150" t="s">
        <v>263</v>
      </c>
      <c r="C150" t="s">
        <v>16</v>
      </c>
      <c r="D150" t="s">
        <v>104</v>
      </c>
      <c r="E150" s="1">
        <v>44629</v>
      </c>
      <c r="F150" t="s">
        <v>13</v>
      </c>
      <c r="G150">
        <v>81600</v>
      </c>
      <c r="H150">
        <v>61.7</v>
      </c>
      <c r="I150">
        <v>6</v>
      </c>
      <c r="J150">
        <v>4.3</v>
      </c>
      <c r="K150" t="s">
        <v>346</v>
      </c>
      <c r="L150" t="s">
        <v>341</v>
      </c>
      <c r="M150">
        <v>2022</v>
      </c>
      <c r="N150" t="s">
        <v>364</v>
      </c>
      <c r="O150">
        <v>1</v>
      </c>
    </row>
    <row r="151" spans="1:15" x14ac:dyDescent="0.3">
      <c r="A151" t="s">
        <v>268</v>
      </c>
      <c r="B151" t="s">
        <v>269</v>
      </c>
      <c r="C151" t="s">
        <v>16</v>
      </c>
      <c r="D151" t="s">
        <v>119</v>
      </c>
      <c r="E151" s="1">
        <v>44664</v>
      </c>
      <c r="F151" t="s">
        <v>153</v>
      </c>
      <c r="G151">
        <v>48300</v>
      </c>
      <c r="H151">
        <v>27.7</v>
      </c>
      <c r="I151">
        <v>20</v>
      </c>
      <c r="J151">
        <v>4.2</v>
      </c>
      <c r="K151" t="s">
        <v>347</v>
      </c>
      <c r="L151" t="s">
        <v>345</v>
      </c>
      <c r="M151">
        <v>2022</v>
      </c>
      <c r="N151" t="s">
        <v>357</v>
      </c>
      <c r="O151">
        <v>2</v>
      </c>
    </row>
    <row r="152" spans="1:15" x14ac:dyDescent="0.3">
      <c r="A152" t="s">
        <v>274</v>
      </c>
      <c r="B152" t="s">
        <v>275</v>
      </c>
      <c r="C152" t="s">
        <v>16</v>
      </c>
      <c r="D152" t="s">
        <v>119</v>
      </c>
      <c r="E152" s="1">
        <v>44702</v>
      </c>
      <c r="F152" t="s">
        <v>77</v>
      </c>
      <c r="G152">
        <v>32900</v>
      </c>
      <c r="H152">
        <v>29.8</v>
      </c>
      <c r="I152">
        <v>17</v>
      </c>
      <c r="J152">
        <v>4.0999999999999996</v>
      </c>
      <c r="K152" t="s">
        <v>347</v>
      </c>
      <c r="L152" t="s">
        <v>343</v>
      </c>
      <c r="M152">
        <v>2022</v>
      </c>
      <c r="N152" t="s">
        <v>344</v>
      </c>
      <c r="O152">
        <v>2</v>
      </c>
    </row>
    <row r="153" spans="1:15" x14ac:dyDescent="0.3">
      <c r="A153" t="s">
        <v>288</v>
      </c>
      <c r="B153" t="s">
        <v>289</v>
      </c>
      <c r="C153" t="s">
        <v>11</v>
      </c>
      <c r="D153" t="s">
        <v>104</v>
      </c>
      <c r="E153" s="1">
        <v>44849</v>
      </c>
      <c r="F153" t="s">
        <v>77</v>
      </c>
      <c r="G153">
        <v>31900</v>
      </c>
      <c r="H153">
        <v>29.6</v>
      </c>
      <c r="I153">
        <v>25</v>
      </c>
      <c r="J153">
        <v>3.7</v>
      </c>
      <c r="K153" t="s">
        <v>347</v>
      </c>
      <c r="L153" t="s">
        <v>343</v>
      </c>
      <c r="M153">
        <v>2022</v>
      </c>
      <c r="N153" t="s">
        <v>362</v>
      </c>
      <c r="O153">
        <v>4</v>
      </c>
    </row>
    <row r="154" spans="1:15" x14ac:dyDescent="0.3">
      <c r="A154" t="s">
        <v>298</v>
      </c>
      <c r="B154" t="s">
        <v>299</v>
      </c>
      <c r="C154" t="s">
        <v>16</v>
      </c>
      <c r="D154" t="s">
        <v>45</v>
      </c>
      <c r="E154" s="1">
        <v>44927</v>
      </c>
      <c r="F154" t="s">
        <v>95</v>
      </c>
      <c r="G154">
        <v>44800</v>
      </c>
      <c r="H154">
        <v>30</v>
      </c>
      <c r="I154">
        <v>17</v>
      </c>
      <c r="J154">
        <v>3.5</v>
      </c>
      <c r="K154" t="s">
        <v>347</v>
      </c>
      <c r="L154" t="s">
        <v>345</v>
      </c>
      <c r="M154">
        <v>2023</v>
      </c>
      <c r="N154" t="s">
        <v>366</v>
      </c>
      <c r="O154">
        <v>1</v>
      </c>
    </row>
    <row r="155" spans="1:15" x14ac:dyDescent="0.3">
      <c r="A155" t="s">
        <v>300</v>
      </c>
      <c r="B155" t="s">
        <v>301</v>
      </c>
      <c r="C155" t="s">
        <v>16</v>
      </c>
      <c r="D155" t="s">
        <v>119</v>
      </c>
      <c r="E155" s="1">
        <v>44933</v>
      </c>
      <c r="F155" t="s">
        <v>56</v>
      </c>
      <c r="G155">
        <v>58300</v>
      </c>
      <c r="H155">
        <v>29.4</v>
      </c>
      <c r="I155">
        <v>16</v>
      </c>
      <c r="J155">
        <v>3.4</v>
      </c>
      <c r="K155" t="s">
        <v>347</v>
      </c>
      <c r="L155" t="s">
        <v>345</v>
      </c>
      <c r="M155">
        <v>2023</v>
      </c>
      <c r="N155" t="s">
        <v>366</v>
      </c>
      <c r="O155">
        <v>1</v>
      </c>
    </row>
    <row r="156" spans="1:15" x14ac:dyDescent="0.3">
      <c r="A156" t="s">
        <v>303</v>
      </c>
      <c r="B156" t="s">
        <v>304</v>
      </c>
      <c r="C156" t="s">
        <v>16</v>
      </c>
      <c r="D156" t="s">
        <v>119</v>
      </c>
      <c r="E156" s="1">
        <v>44938</v>
      </c>
      <c r="F156" t="s">
        <v>77</v>
      </c>
      <c r="G156">
        <v>33600</v>
      </c>
      <c r="H156">
        <v>46</v>
      </c>
      <c r="I156">
        <v>16</v>
      </c>
      <c r="J156">
        <v>3.4</v>
      </c>
      <c r="K156" t="s">
        <v>348</v>
      </c>
      <c r="L156" t="s">
        <v>343</v>
      </c>
      <c r="M156">
        <v>2023</v>
      </c>
      <c r="N156" t="s">
        <v>366</v>
      </c>
      <c r="O156">
        <v>1</v>
      </c>
    </row>
    <row r="157" spans="1:15" x14ac:dyDescent="0.3">
      <c r="A157" t="s">
        <v>307</v>
      </c>
      <c r="B157" t="s">
        <v>308</v>
      </c>
      <c r="C157" t="s">
        <v>16</v>
      </c>
      <c r="D157" t="s">
        <v>119</v>
      </c>
      <c r="E157" s="1">
        <v>44952</v>
      </c>
      <c r="F157" t="s">
        <v>80</v>
      </c>
      <c r="G157">
        <v>52700</v>
      </c>
      <c r="H157">
        <v>29.5</v>
      </c>
      <c r="I157">
        <v>10</v>
      </c>
      <c r="J157">
        <v>3.4</v>
      </c>
      <c r="K157" t="s">
        <v>347</v>
      </c>
      <c r="L157" t="s">
        <v>345</v>
      </c>
      <c r="M157">
        <v>2023</v>
      </c>
      <c r="N157" t="s">
        <v>366</v>
      </c>
      <c r="O157">
        <v>1</v>
      </c>
    </row>
    <row r="158" spans="1:15" x14ac:dyDescent="0.3">
      <c r="A158" t="s">
        <v>310</v>
      </c>
      <c r="B158" t="s">
        <v>311</v>
      </c>
      <c r="C158" t="s">
        <v>16</v>
      </c>
      <c r="D158" t="s">
        <v>119</v>
      </c>
      <c r="E158" s="1">
        <v>44969</v>
      </c>
      <c r="F158" t="s">
        <v>77</v>
      </c>
      <c r="G158">
        <v>32500</v>
      </c>
      <c r="H158">
        <v>63.7</v>
      </c>
      <c r="I158">
        <v>12</v>
      </c>
      <c r="J158">
        <v>3.3</v>
      </c>
      <c r="K158" t="s">
        <v>346</v>
      </c>
      <c r="L158" t="s">
        <v>343</v>
      </c>
      <c r="M158">
        <v>2023</v>
      </c>
      <c r="N158" t="s">
        <v>367</v>
      </c>
      <c r="O158">
        <v>1</v>
      </c>
    </row>
    <row r="159" spans="1:15" x14ac:dyDescent="0.3">
      <c r="A159" t="s">
        <v>319</v>
      </c>
      <c r="B159" t="s">
        <v>320</v>
      </c>
      <c r="C159" t="s">
        <v>11</v>
      </c>
      <c r="D159" t="s">
        <v>119</v>
      </c>
      <c r="E159" s="1">
        <v>45004</v>
      </c>
      <c r="F159" t="s">
        <v>56</v>
      </c>
      <c r="G159">
        <v>58700</v>
      </c>
      <c r="H159">
        <v>47.3</v>
      </c>
      <c r="I159">
        <v>6</v>
      </c>
      <c r="J159">
        <v>3.2</v>
      </c>
      <c r="K159" t="s">
        <v>348</v>
      </c>
      <c r="L159" t="s">
        <v>345</v>
      </c>
      <c r="M159">
        <v>2023</v>
      </c>
      <c r="N159" t="s">
        <v>364</v>
      </c>
      <c r="O159">
        <v>1</v>
      </c>
    </row>
    <row r="160" spans="1:15" x14ac:dyDescent="0.3">
      <c r="A160" t="s">
        <v>321</v>
      </c>
      <c r="B160" t="s">
        <v>322</v>
      </c>
      <c r="C160" t="s">
        <v>16</v>
      </c>
      <c r="D160" t="s">
        <v>119</v>
      </c>
      <c r="E160" s="1">
        <v>45004</v>
      </c>
      <c r="F160" t="s">
        <v>24</v>
      </c>
      <c r="G160">
        <v>36500</v>
      </c>
      <c r="H160">
        <v>23.5</v>
      </c>
      <c r="I160">
        <v>17</v>
      </c>
      <c r="J160">
        <v>3.2</v>
      </c>
      <c r="K160" t="s">
        <v>347</v>
      </c>
      <c r="L160" t="s">
        <v>343</v>
      </c>
      <c r="M160">
        <v>2023</v>
      </c>
      <c r="N160" t="s">
        <v>364</v>
      </c>
      <c r="O160">
        <v>1</v>
      </c>
    </row>
    <row r="161" spans="1:15" x14ac:dyDescent="0.3">
      <c r="A161" t="s">
        <v>326</v>
      </c>
      <c r="B161" t="s">
        <v>327</v>
      </c>
      <c r="C161" t="s">
        <v>16</v>
      </c>
      <c r="D161" t="s">
        <v>119</v>
      </c>
      <c r="E161" s="1">
        <v>45050</v>
      </c>
      <c r="F161" t="s">
        <v>42</v>
      </c>
      <c r="G161">
        <v>63500</v>
      </c>
      <c r="H161">
        <v>28.5</v>
      </c>
      <c r="I161">
        <v>20</v>
      </c>
      <c r="J161">
        <v>3.1</v>
      </c>
      <c r="K161" t="s">
        <v>347</v>
      </c>
      <c r="L161" t="s">
        <v>342</v>
      </c>
      <c r="M161">
        <v>2023</v>
      </c>
      <c r="N161" t="s">
        <v>344</v>
      </c>
      <c r="O161">
        <v>2</v>
      </c>
    </row>
    <row r="162" spans="1:15" x14ac:dyDescent="0.3">
      <c r="A162" t="s">
        <v>330</v>
      </c>
      <c r="B162" t="s">
        <v>331</v>
      </c>
      <c r="C162" t="s">
        <v>16</v>
      </c>
      <c r="D162" t="s">
        <v>119</v>
      </c>
      <c r="E162" s="1">
        <v>45072</v>
      </c>
      <c r="F162" t="s">
        <v>24</v>
      </c>
      <c r="G162">
        <v>35900</v>
      </c>
      <c r="H162">
        <v>29.9</v>
      </c>
      <c r="I162">
        <v>15</v>
      </c>
      <c r="J162">
        <v>3.1</v>
      </c>
      <c r="K162" t="s">
        <v>347</v>
      </c>
      <c r="L162" t="s">
        <v>343</v>
      </c>
      <c r="M162">
        <v>2023</v>
      </c>
      <c r="N162" t="s">
        <v>344</v>
      </c>
      <c r="O162">
        <v>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E7D07-1FBA-4D12-919B-235AD7789E1C}">
  <dimension ref="A3:L37"/>
  <sheetViews>
    <sheetView zoomScale="57" workbookViewId="0">
      <selection activeCell="H9" sqref="H9"/>
    </sheetView>
  </sheetViews>
  <sheetFormatPr defaultRowHeight="14.4" x14ac:dyDescent="0.3"/>
  <cols>
    <col min="1" max="1" width="20.77734375" bestFit="1" customWidth="1"/>
    <col min="2" max="2" width="25.6640625" bestFit="1" customWidth="1"/>
    <col min="3" max="3" width="15" bestFit="1" customWidth="1"/>
    <col min="4" max="5" width="21.33203125" bestFit="1" customWidth="1"/>
    <col min="6" max="6" width="15.77734375" bestFit="1" customWidth="1"/>
    <col min="7" max="7" width="20.77734375" bestFit="1" customWidth="1"/>
    <col min="8" max="8" width="21.109375" bestFit="1" customWidth="1"/>
    <col min="10" max="10" width="20.77734375" bestFit="1" customWidth="1"/>
    <col min="11" max="11" width="21.33203125" bestFit="1" customWidth="1"/>
    <col min="12" max="13" width="28.88671875" bestFit="1" customWidth="1"/>
    <col min="14" max="14" width="19.5546875" bestFit="1" customWidth="1"/>
    <col min="21" max="21" width="10.88671875" bestFit="1" customWidth="1"/>
    <col min="22" max="22" width="14.88671875" bestFit="1" customWidth="1"/>
  </cols>
  <sheetData>
    <row r="3" spans="1:12" x14ac:dyDescent="0.3">
      <c r="A3" t="s">
        <v>349</v>
      </c>
      <c r="D3" t="s">
        <v>350</v>
      </c>
      <c r="G3" t="s">
        <v>352</v>
      </c>
      <c r="J3" t="s">
        <v>353</v>
      </c>
      <c r="L3" t="s">
        <v>354</v>
      </c>
    </row>
    <row r="4" spans="1:12" x14ac:dyDescent="0.3">
      <c r="A4" s="6">
        <v>8731200</v>
      </c>
      <c r="D4" s="7">
        <v>161</v>
      </c>
      <c r="G4" s="6">
        <v>54231.055900621119</v>
      </c>
      <c r="J4" s="4">
        <v>5.7807453416149075</v>
      </c>
      <c r="L4" s="4">
        <v>16.41614906832298</v>
      </c>
    </row>
    <row r="9" spans="1:12" x14ac:dyDescent="0.3">
      <c r="A9" s="2" t="s">
        <v>5</v>
      </c>
      <c r="B9" t="s">
        <v>356</v>
      </c>
      <c r="D9" s="2" t="s">
        <v>335</v>
      </c>
      <c r="E9" t="s">
        <v>355</v>
      </c>
      <c r="G9" s="2" t="s">
        <v>5</v>
      </c>
      <c r="H9" t="s">
        <v>372</v>
      </c>
    </row>
    <row r="10" spans="1:12" x14ac:dyDescent="0.3">
      <c r="A10" s="3" t="s">
        <v>80</v>
      </c>
      <c r="B10" s="7">
        <v>17</v>
      </c>
      <c r="D10" s="3" t="s">
        <v>347</v>
      </c>
      <c r="E10" s="7">
        <v>27</v>
      </c>
      <c r="G10" s="3" t="s">
        <v>80</v>
      </c>
      <c r="H10" s="6">
        <v>52176.470588235294</v>
      </c>
    </row>
    <row r="11" spans="1:12" x14ac:dyDescent="0.3">
      <c r="A11" s="3" t="s">
        <v>21</v>
      </c>
      <c r="B11" s="7">
        <v>10</v>
      </c>
      <c r="D11" s="3" t="s">
        <v>340</v>
      </c>
      <c r="E11" s="7">
        <v>115</v>
      </c>
      <c r="G11" s="3" t="s">
        <v>21</v>
      </c>
      <c r="H11" s="6">
        <v>73530</v>
      </c>
    </row>
    <row r="12" spans="1:12" x14ac:dyDescent="0.3">
      <c r="A12" s="3" t="s">
        <v>42</v>
      </c>
      <c r="B12" s="7">
        <v>10</v>
      </c>
      <c r="D12" s="3" t="s">
        <v>348</v>
      </c>
      <c r="E12" s="7">
        <v>5</v>
      </c>
      <c r="G12" s="3" t="s">
        <v>42</v>
      </c>
      <c r="H12" s="6">
        <v>62170</v>
      </c>
    </row>
    <row r="13" spans="1:12" x14ac:dyDescent="0.3">
      <c r="A13" s="3" t="s">
        <v>77</v>
      </c>
      <c r="B13" s="7">
        <v>22</v>
      </c>
      <c r="D13" s="3" t="s">
        <v>346</v>
      </c>
      <c r="E13" s="7">
        <v>14</v>
      </c>
      <c r="G13" s="3" t="s">
        <v>77</v>
      </c>
      <c r="H13" s="6">
        <v>33409.090909090912</v>
      </c>
    </row>
    <row r="14" spans="1:12" x14ac:dyDescent="0.3">
      <c r="A14" s="3" t="s">
        <v>13</v>
      </c>
      <c r="B14" s="7">
        <v>16</v>
      </c>
      <c r="D14" s="3" t="s">
        <v>351</v>
      </c>
      <c r="E14" s="7">
        <v>161</v>
      </c>
      <c r="G14" s="3" t="s">
        <v>13</v>
      </c>
      <c r="H14" s="6">
        <v>82825</v>
      </c>
    </row>
    <row r="15" spans="1:12" x14ac:dyDescent="0.3">
      <c r="A15" s="3" t="s">
        <v>24</v>
      </c>
      <c r="B15" s="7">
        <v>20</v>
      </c>
      <c r="G15" s="3" t="s">
        <v>24</v>
      </c>
      <c r="H15" s="6">
        <v>37500</v>
      </c>
    </row>
    <row r="16" spans="1:12" x14ac:dyDescent="0.3">
      <c r="A16" s="3" t="s">
        <v>95</v>
      </c>
      <c r="B16" s="7">
        <v>17</v>
      </c>
      <c r="G16" s="3" t="s">
        <v>95</v>
      </c>
      <c r="H16" s="6">
        <v>43135.294117647056</v>
      </c>
    </row>
    <row r="17" spans="1:11" x14ac:dyDescent="0.3">
      <c r="A17" s="3" t="s">
        <v>56</v>
      </c>
      <c r="B17" s="7">
        <v>16</v>
      </c>
      <c r="G17" s="3" t="s">
        <v>56</v>
      </c>
      <c r="H17" s="6">
        <v>57812.5</v>
      </c>
    </row>
    <row r="18" spans="1:11" x14ac:dyDescent="0.3">
      <c r="A18" s="3" t="s">
        <v>39</v>
      </c>
      <c r="B18" s="7">
        <v>15</v>
      </c>
      <c r="G18" s="3" t="s">
        <v>39</v>
      </c>
      <c r="H18" s="6">
        <v>77566.666666666672</v>
      </c>
    </row>
    <row r="19" spans="1:11" x14ac:dyDescent="0.3">
      <c r="A19" s="3" t="s">
        <v>153</v>
      </c>
      <c r="B19" s="7">
        <v>18</v>
      </c>
      <c r="G19" s="3" t="s">
        <v>153</v>
      </c>
      <c r="H19" s="6">
        <v>47511.111111111109</v>
      </c>
    </row>
    <row r="20" spans="1:11" x14ac:dyDescent="0.3">
      <c r="A20" s="3" t="s">
        <v>351</v>
      </c>
      <c r="B20" s="7">
        <v>161</v>
      </c>
      <c r="G20" s="3" t="s">
        <v>351</v>
      </c>
      <c r="H20" s="6">
        <v>54231.055900621119</v>
      </c>
    </row>
    <row r="24" spans="1:11" x14ac:dyDescent="0.3">
      <c r="A24" s="2" t="s">
        <v>368</v>
      </c>
      <c r="B24" t="s">
        <v>355</v>
      </c>
      <c r="D24" s="2" t="s">
        <v>370</v>
      </c>
      <c r="E24" t="s">
        <v>371</v>
      </c>
      <c r="F24" t="s">
        <v>369</v>
      </c>
    </row>
    <row r="25" spans="1:11" x14ac:dyDescent="0.3">
      <c r="A25" s="3" t="s">
        <v>12</v>
      </c>
      <c r="B25" s="7">
        <v>29</v>
      </c>
      <c r="D25" s="3" t="s">
        <v>363</v>
      </c>
      <c r="E25" s="7">
        <v>9</v>
      </c>
      <c r="F25" s="7">
        <v>9</v>
      </c>
      <c r="J25" s="2" t="s">
        <v>336</v>
      </c>
      <c r="K25" t="s">
        <v>355</v>
      </c>
    </row>
    <row r="26" spans="1:11" x14ac:dyDescent="0.3">
      <c r="A26" s="3" t="s">
        <v>119</v>
      </c>
      <c r="B26" s="7">
        <v>42</v>
      </c>
      <c r="D26" s="3" t="s">
        <v>360</v>
      </c>
      <c r="E26" s="7">
        <v>14</v>
      </c>
      <c r="F26" s="7">
        <v>14</v>
      </c>
      <c r="J26" s="3" t="s">
        <v>343</v>
      </c>
      <c r="K26" s="7">
        <v>42</v>
      </c>
    </row>
    <row r="27" spans="1:11" x14ac:dyDescent="0.3">
      <c r="A27" s="3" t="s">
        <v>104</v>
      </c>
      <c r="B27" s="7">
        <v>41</v>
      </c>
      <c r="D27" s="3" t="s">
        <v>362</v>
      </c>
      <c r="E27" s="7">
        <v>12</v>
      </c>
      <c r="F27" s="7">
        <v>12</v>
      </c>
      <c r="J27" s="3" t="s">
        <v>345</v>
      </c>
      <c r="K27" s="7">
        <v>67</v>
      </c>
    </row>
    <row r="28" spans="1:11" x14ac:dyDescent="0.3">
      <c r="A28" s="3" t="s">
        <v>45</v>
      </c>
      <c r="B28" s="7">
        <v>49</v>
      </c>
      <c r="D28" s="3" t="s">
        <v>361</v>
      </c>
      <c r="E28" s="7">
        <v>19</v>
      </c>
      <c r="F28" s="7">
        <v>19</v>
      </c>
      <c r="J28" s="3" t="s">
        <v>342</v>
      </c>
      <c r="K28" s="7">
        <v>36</v>
      </c>
    </row>
    <row r="29" spans="1:11" x14ac:dyDescent="0.3">
      <c r="A29" s="3" t="s">
        <v>351</v>
      </c>
      <c r="B29" s="7">
        <v>161</v>
      </c>
      <c r="D29" s="3" t="s">
        <v>365</v>
      </c>
      <c r="E29" s="7">
        <v>11</v>
      </c>
      <c r="F29" s="7">
        <v>11</v>
      </c>
      <c r="J29" s="3" t="s">
        <v>341</v>
      </c>
      <c r="K29" s="7">
        <v>16</v>
      </c>
    </row>
    <row r="30" spans="1:11" x14ac:dyDescent="0.3">
      <c r="D30" s="3" t="s">
        <v>359</v>
      </c>
      <c r="E30" s="7">
        <v>16</v>
      </c>
      <c r="F30" s="7">
        <v>16</v>
      </c>
      <c r="J30" s="3" t="s">
        <v>351</v>
      </c>
      <c r="K30" s="7">
        <v>161</v>
      </c>
    </row>
    <row r="31" spans="1:11" x14ac:dyDescent="0.3">
      <c r="D31" s="3" t="s">
        <v>358</v>
      </c>
      <c r="E31" s="7">
        <v>15</v>
      </c>
      <c r="F31" s="7">
        <v>15</v>
      </c>
    </row>
    <row r="32" spans="1:11" x14ac:dyDescent="0.3">
      <c r="D32" s="3" t="s">
        <v>344</v>
      </c>
      <c r="E32" s="7">
        <v>15</v>
      </c>
      <c r="F32" s="7">
        <v>15</v>
      </c>
    </row>
    <row r="33" spans="4:6" x14ac:dyDescent="0.3">
      <c r="D33" s="3" t="s">
        <v>357</v>
      </c>
      <c r="E33" s="7">
        <v>13</v>
      </c>
      <c r="F33" s="7">
        <v>13</v>
      </c>
    </row>
    <row r="34" spans="4:6" x14ac:dyDescent="0.3">
      <c r="D34" s="3" t="s">
        <v>364</v>
      </c>
      <c r="E34" s="7">
        <v>13</v>
      </c>
      <c r="F34" s="7">
        <v>13</v>
      </c>
    </row>
    <row r="35" spans="4:6" x14ac:dyDescent="0.3">
      <c r="D35" s="3" t="s">
        <v>367</v>
      </c>
      <c r="E35" s="7">
        <v>13</v>
      </c>
      <c r="F35" s="7">
        <v>13</v>
      </c>
    </row>
    <row r="36" spans="4:6" x14ac:dyDescent="0.3">
      <c r="D36" s="3" t="s">
        <v>366</v>
      </c>
      <c r="E36" s="7">
        <v>11</v>
      </c>
      <c r="F36" s="7">
        <v>11</v>
      </c>
    </row>
    <row r="37" spans="4:6" x14ac:dyDescent="0.3">
      <c r="D37" s="3" t="s">
        <v>351</v>
      </c>
      <c r="E37" s="7">
        <v>161</v>
      </c>
      <c r="F37" s="7">
        <v>161</v>
      </c>
    </row>
  </sheetData>
  <dataValidations count="1">
    <dataValidation type="list" allowBlank="1" showInputMessage="1" showErrorMessage="1" sqref="J59" xr:uid="{67F67083-352A-443D-99CA-613001551347}">
      <formula1>$A$9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39598-6257-4071-A6DD-2E34CA45D878}">
  <sheetPr>
    <pageSetUpPr autoPageBreaks="0"/>
  </sheetPr>
  <dimension ref="A1"/>
  <sheetViews>
    <sheetView showGridLines="0" tabSelected="1" topLeftCell="A49" zoomScale="52" zoomScaleNormal="100" workbookViewId="0">
      <selection activeCell="A33" sqref="A33"/>
    </sheetView>
  </sheetViews>
  <sheetFormatPr defaultRowHeight="14.4" x14ac:dyDescent="0.3"/>
  <cols>
    <col min="1" max="13" width="8.88671875" style="5"/>
    <col min="14" max="14" width="8.88671875" style="5" customWidth="1"/>
    <col min="15" max="16384" width="8.8867187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D2802C-9CDD-4B7F-831F-55741B95BC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HR_Project</vt:lpstr>
      <vt:lpstr>Pivot</vt:lpstr>
      <vt:lpstr>DashBorad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Ali</dc:creator>
  <cp:lastModifiedBy>Ahmed Ali</cp:lastModifiedBy>
  <dcterms:created xsi:type="dcterms:W3CDTF">2026-06-14T10:22:33Z</dcterms:created>
  <dcterms:modified xsi:type="dcterms:W3CDTF">2026-06-18T10:30:20Z</dcterms:modified>
</cp:coreProperties>
</file>